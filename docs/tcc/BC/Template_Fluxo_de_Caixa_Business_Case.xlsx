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luxo de Caix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\R\$\ #,##0;[Red]\(\R\$\ #,##0\);\-"/>
  </numFmts>
  <fonts count="13">
    <font>
      <name val="Carlito"/>
      <sz val="11"/>
    </font>
    <font>
      <name val="Aptos"/>
      <b val="1"/>
      <color rgb="FFFFFFFF"/>
      <sz val="16"/>
    </font>
    <font>
      <name val="Aptos"/>
      <i val="1"/>
      <color rgb="FF595959"/>
      <sz val="11"/>
    </font>
    <font>
      <name val="Aptos"/>
      <sz val="11"/>
    </font>
    <font>
      <name val="Aptos"/>
      <b val="1"/>
      <color rgb="FFFFFFFF"/>
      <sz val="11"/>
    </font>
    <font>
      <name val="Aptos"/>
      <color rgb="FF595959"/>
      <sz val="10"/>
    </font>
    <font>
      <name val="Aptos"/>
      <b val="1"/>
      <color rgb="FF0000FF"/>
      <sz val="11"/>
    </font>
    <font>
      <name val="Aptos"/>
      <b val="1"/>
      <color rgb="FFFFFFFF"/>
      <sz val="13"/>
    </font>
    <font>
      <name val="Aptos"/>
      <color rgb="FF0000FF"/>
      <sz val="11"/>
    </font>
    <font>
      <name val="Aptos"/>
      <color rgb="FF000000"/>
      <sz val="11"/>
    </font>
    <font>
      <name val="Aptos"/>
      <b val="1"/>
      <color rgb="FF000000"/>
      <sz val="11"/>
    </font>
    <font>
      <name val="Aptos"/>
      <b val="1"/>
      <sz val="11"/>
    </font>
    <font>
      <name val="Aptos"/>
      <color rgb="FF008000"/>
      <sz val="11"/>
    </font>
  </fonts>
  <fills count="1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00"/>
      </patternFill>
    </fill>
    <fill>
      <patternFill patternType="solid">
        <fgColor rgb="FFE7E6E6"/>
      </patternFill>
    </fill>
    <fill>
      <patternFill patternType="solid">
        <fgColor rgb="FF2F75B5"/>
      </patternFill>
    </fill>
    <fill>
      <patternFill patternType="solid">
        <fgColor rgb="FF54823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BF9000"/>
      </patternFill>
    </fill>
    <fill>
      <patternFill patternType="solid">
        <fgColor rgb="FF7F8C8D"/>
      </patternFill>
    </fill>
    <fill>
      <patternFill patternType="solid">
        <fgColor rgb="FF595959"/>
      </patternFill>
    </fill>
  </fills>
  <borders count="4">
    <border>
      <left/>
      <right/>
      <top/>
      <bottom/>
      <diagonal/>
    </border>
    <border>
      <left/>
      <right/>
      <top style="thin">
        <color rgb="FF595959"/>
      </top>
      <bottom/>
      <diagonal/>
    </border>
    <border>
      <left/>
      <right/>
      <top style="thin">
        <color rgb="FF17365D"/>
      </top>
      <bottom/>
      <diagonal/>
    </border>
    <border>
      <left/>
      <right/>
      <top/>
      <bottom style="hair">
        <color rgb="FFD9D9D9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0" fontId="8" fillId="8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4" fontId="10" fillId="9" borderId="1" applyAlignment="1" pivotButton="0" quotePrefix="0" xfId="0">
      <alignment vertical="center"/>
    </xf>
    <xf numFmtId="164" fontId="10" fillId="11" borderId="1" applyAlignment="1" pivotButton="0" quotePrefix="0" xfId="0">
      <alignment vertical="center"/>
    </xf>
    <xf numFmtId="164" fontId="10" fillId="8" borderId="1" applyAlignment="1" pivotButton="0" quotePrefix="0" xfId="0">
      <alignment vertical="center"/>
    </xf>
    <xf numFmtId="164" fontId="10" fillId="5" borderId="1" applyAlignment="1" pivotButton="0" quotePrefix="0" xfId="0">
      <alignment vertical="center"/>
    </xf>
    <xf numFmtId="164" fontId="10" fillId="3" borderId="2" applyAlignment="1" pivotButton="0" quotePrefix="0" xfId="0">
      <alignment vertical="center"/>
    </xf>
    <xf numFmtId="0" fontId="11" fillId="5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164" fontId="10" fillId="3" borderId="3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7" fillId="2" borderId="0" applyAlignment="1" pivotButton="0" quotePrefix="0" xfId="0">
      <alignment vertical="center"/>
    </xf>
    <xf numFmtId="0" fontId="4" fillId="7" borderId="0" applyAlignment="1" pivotButton="0" quotePrefix="0" xfId="0">
      <alignment vertical="center"/>
    </xf>
    <xf numFmtId="164" fontId="10" fillId="9" borderId="1" applyAlignment="1" pivotButton="0" quotePrefix="0" xfId="0">
      <alignment vertical="center"/>
    </xf>
    <xf numFmtId="0" fontId="4" fillId="10" borderId="0" applyAlignment="1" pivotButton="0" quotePrefix="0" xfId="0">
      <alignment vertical="center"/>
    </xf>
    <xf numFmtId="164" fontId="10" fillId="11" borderId="1" applyAlignment="1" pivotButton="0" quotePrefix="0" xfId="0">
      <alignment vertical="center"/>
    </xf>
    <xf numFmtId="0" fontId="4" fillId="12" borderId="0" applyAlignment="1" pivotButton="0" quotePrefix="0" xfId="0">
      <alignment vertical="center"/>
    </xf>
    <xf numFmtId="164" fontId="10" fillId="8" borderId="1" applyAlignment="1" pivotButton="0" quotePrefix="0" xfId="0">
      <alignment vertical="center"/>
    </xf>
    <xf numFmtId="0" fontId="4" fillId="13" borderId="0" applyAlignment="1" pivotButton="0" quotePrefix="0" xfId="0">
      <alignment vertical="center"/>
    </xf>
    <xf numFmtId="164" fontId="10" fillId="5" borderId="1" applyAlignment="1" pivotButton="0" quotePrefix="0" xfId="0">
      <alignment vertical="center"/>
    </xf>
    <xf numFmtId="164" fontId="10" fillId="3" borderId="2" applyAlignment="1" pivotButton="0" quotePrefix="0" xfId="0">
      <alignment vertical="center"/>
    </xf>
    <xf numFmtId="164" fontId="10" fillId="3" borderId="3" applyAlignment="1" pivotButton="0" quotePrefix="0" xfId="0">
      <alignment vertical="center"/>
    </xf>
    <xf numFmtId="0" fontId="4" fillId="14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dxfs count="4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8E6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8E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Ano 1 — Fluxo Líquido e Acumulado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v>Series 1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'Fluxo de Caixa'!$C$40:$C$41</f>
              <numCache>
                <formatCode>\R\$\ #,##0;[Red]\(\R\$\ #,##0\);\-</formatCode>
                <ptCount val="2"/>
                <pt idx="0">
                  <v>0</v>
                </pt>
                <pt idx="1">
                  <v>0</v>
                </pt>
              </numCache>
            </numRef>
          </cat>
          <val>
            <numRef>
              <f>'Fluxo de Caixa'!$D$40:$D$41</f>
              <numCache>
                <formatCode>\R\$\ #,##0;[Red]\(\R\$\ #,##0\);\-</formatCode>
                <ptCount val="2"/>
                <pt idx="0">
                  <v>0</v>
                </pt>
                <pt idx="1">
                  <v>0</v>
                </pt>
              </numCache>
            </numRef>
          </val>
          <smooth val="1"/>
        </ser>
        <ser>
          <idx val="1"/>
          <order val="1"/>
          <tx>
            <v>Series 2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'Fluxo de Caixa'!$C$40:$C$41</f>
              <numCache>
                <formatCode>\R\$\ #,##0;[Red]\(\R\$\ #,##0\);\-</formatCode>
                <ptCount val="2"/>
                <pt idx="0">
                  <v>0</v>
                </pt>
                <pt idx="1">
                  <v>0</v>
                </pt>
              </numCache>
            </numRef>
          </cat>
          <val>
            <numRef>
              <f>'Fluxo de Caixa'!$E$40:$E$41</f>
              <numCache>
                <formatCode>\R\$\ #,##0;[Red]\(\R\$\ #,##0\);\-</formatCode>
                <ptCount val="2"/>
                <pt idx="0">
                  <v>0</v>
                </pt>
                <pt idx="1">
                  <v>0</v>
                </pt>
              </numCache>
            </numRef>
          </val>
          <smooth val="1"/>
        </ser>
        <ser>
          <idx val="2"/>
          <order val="2"/>
          <tx>
            <v>Series 3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'Fluxo de Caixa'!$C$40:$C$41</f>
              <numCache>
                <formatCode>\R\$\ #,##0;[Red]\(\R\$\ #,##0\);\-</formatCode>
                <ptCount val="2"/>
                <pt idx="0">
                  <v>0</v>
                </pt>
                <pt idx="1">
                  <v>0</v>
                </pt>
              </numCache>
            </numRef>
          </cat>
          <val>
            <numRef>
              <f>'Fluxo de Caixa'!$F$40:$F$41</f>
              <numCache>
                <formatCode>\R\$\ #,##0;[Red]\(\R\$\ #,##0\);\-</formatCode>
                <ptCount val="2"/>
                <pt idx="0">
                  <v>0</v>
                </pt>
                <pt idx="1">
                  <v>0</v>
                </pt>
              </numCache>
            </numRef>
          </val>
          <smooth val="1"/>
        </ser>
        <ser>
          <idx val="3"/>
          <order val="3"/>
          <tx>
            <v>Series 4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'Fluxo de Caixa'!$C$40:$C$41</f>
              <numCache>
                <formatCode>\R\$\ #,##0;[Red]\(\R\$\ #,##0\);\-</formatCode>
                <ptCount val="2"/>
                <pt idx="0">
                  <v>0</v>
                </pt>
                <pt idx="1">
                  <v>0</v>
                </pt>
              </numCache>
            </numRef>
          </cat>
          <val>
            <numRef>
              <f>'Fluxo de Caixa'!$G$40:$G$41</f>
              <numCache>
                <formatCode>\R\$\ #,##0;[Red]\(\R\$\ #,##0\);\-</formatCode>
                <ptCount val="2"/>
                <pt idx="0">
                  <v>0</v>
                </pt>
                <pt idx="1">
                  <v>0</v>
                </pt>
              </numCache>
            </numRef>
          </val>
          <smooth val="1"/>
        </ser>
        <ser>
          <idx val="4"/>
          <order val="4"/>
          <tx>
            <v>Series 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'Fluxo de Caixa'!$C$40:$C$41</f>
              <numCache>
                <formatCode>\R\$\ #,##0;[Red]\(\R\$\ #,##0\);\-</formatCode>
                <ptCount val="2"/>
                <pt idx="0">
                  <v>0</v>
                </pt>
                <pt idx="1">
                  <v>0</v>
                </pt>
              </numCache>
            </numRef>
          </cat>
          <val>
            <numRef>
              <f>'Fluxo de Caixa'!$H$40:$H$41</f>
              <numCache>
                <formatCode>\R\$\ #,##0;[Red]\(\R\$\ #,##0\);\-</formatCode>
                <ptCount val="2"/>
                <pt idx="0">
                  <v>0</v>
                </pt>
                <pt idx="1">
                  <v>0</v>
                </pt>
              </numCache>
            </numRef>
          </val>
          <smooth val="1"/>
        </ser>
        <ser>
          <idx val="5"/>
          <order val="5"/>
          <tx>
            <v>Series 6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'Fluxo de Caixa'!$C$40:$C$41</f>
              <numCache>
                <formatCode>\R\$\ #,##0;[Red]\(\R\$\ #,##0\);\-</formatCode>
                <ptCount val="2"/>
                <pt idx="0">
                  <v>0</v>
                </pt>
                <pt idx="1">
                  <v>0</v>
                </pt>
              </numCache>
            </numRef>
          </cat>
          <val>
            <numRef>
              <f>'Fluxo de Caixa'!$I$40:$I$41</f>
              <numCache>
                <formatCode>\R\$\ #,##0;[Red]\(\R\$\ #,##0\);\-</formatCode>
                <ptCount val="2"/>
                <pt idx="0">
                  <v>0</v>
                </pt>
                <pt idx="1">
                  <v>0</v>
                </pt>
              </numCache>
            </numRef>
          </val>
          <smooth val="1"/>
        </ser>
        <ser>
          <idx val="6"/>
          <order val="6"/>
          <tx>
            <v>Series 7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'Fluxo de Caixa'!$C$40:$C$41</f>
              <numCache>
                <formatCode>\R\$\ #,##0;[Red]\(\R\$\ #,##0\);\-</formatCode>
                <ptCount val="2"/>
                <pt idx="0">
                  <v>0</v>
                </pt>
                <pt idx="1">
                  <v>0</v>
                </pt>
              </numCache>
            </numRef>
          </cat>
          <val>
            <numRef>
              <f>'Fluxo de Caixa'!$J$40:$J$41</f>
              <numCache>
                <formatCode>\R\$\ #,##0;[Red]\(\R\$\ #,##0\);\-</formatCode>
                <ptCount val="2"/>
                <pt idx="0">
                  <v>0</v>
                </pt>
                <pt idx="1">
                  <v>0</v>
                </pt>
              </numCache>
            </numRef>
          </val>
          <smooth val="1"/>
        </ser>
        <ser>
          <idx val="7"/>
          <order val="7"/>
          <tx>
            <v>Series 8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'Fluxo de Caixa'!$C$40:$C$41</f>
              <numCache>
                <formatCode>\R\$\ #,##0;[Red]\(\R\$\ #,##0\);\-</formatCode>
                <ptCount val="2"/>
                <pt idx="0">
                  <v>0</v>
                </pt>
                <pt idx="1">
                  <v>0</v>
                </pt>
              </numCache>
            </numRef>
          </cat>
          <val>
            <numRef>
              <f>'Fluxo de Caixa'!$K$40:$K$41</f>
              <numCache>
                <formatCode>\R\$\ #,##0;[Red]\(\R\$\ #,##0\);\-</formatCode>
                <ptCount val="2"/>
                <pt idx="0">
                  <v>0</v>
                </pt>
                <pt idx="1">
                  <v>0</v>
                </pt>
              </numCache>
            </numRef>
          </val>
          <smooth val="1"/>
        </ser>
        <ser>
          <idx val="8"/>
          <order val="8"/>
          <tx>
            <v>Series 9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'Fluxo de Caixa'!$C$40:$C$41</f>
              <numCache>
                <formatCode>\R\$\ #,##0;[Red]\(\R\$\ #,##0\);\-</formatCode>
                <ptCount val="2"/>
                <pt idx="0">
                  <v>0</v>
                </pt>
                <pt idx="1">
                  <v>0</v>
                </pt>
              </numCache>
            </numRef>
          </cat>
          <val>
            <numRef>
              <f>'Fluxo de Caixa'!$L$40:$L$41</f>
              <numCache>
                <formatCode>\R\$\ #,##0;[Red]\(\R\$\ #,##0\);\-</formatCode>
                <ptCount val="2"/>
                <pt idx="0">
                  <v>0</v>
                </pt>
                <pt idx="1">
                  <v>0</v>
                </pt>
              </numCache>
            </numRef>
          </val>
          <smooth val="1"/>
        </ser>
        <ser>
          <idx val="9"/>
          <order val="9"/>
          <tx>
            <v>Series 10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'Fluxo de Caixa'!$C$40:$C$41</f>
              <numCache>
                <formatCode>\R\$\ #,##0;[Red]\(\R\$\ #,##0\);\-</formatCode>
                <ptCount val="2"/>
                <pt idx="0">
                  <v>0</v>
                </pt>
                <pt idx="1">
                  <v>0</v>
                </pt>
              </numCache>
            </numRef>
          </cat>
          <val>
            <numRef>
              <f>'Fluxo de Caixa'!$M$40:$M$41</f>
              <numCache>
                <formatCode>\R\$\ #,##0;[Red]\(\R\$\ #,##0\);\-</formatCode>
                <ptCount val="2"/>
                <pt idx="0">
                  <v>0</v>
                </pt>
                <pt idx="1">
                  <v>0</v>
                </pt>
              </numCache>
            </numRef>
          </val>
          <smooth val="1"/>
        </ser>
        <ser>
          <idx val="10"/>
          <order val="10"/>
          <tx>
            <v>Series 11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'Fluxo de Caixa'!$C$40:$C$41</f>
              <numCache>
                <formatCode>\R\$\ #,##0;[Red]\(\R\$\ #,##0\);\-</formatCode>
                <ptCount val="2"/>
                <pt idx="0">
                  <v>0</v>
                </pt>
                <pt idx="1">
                  <v>0</v>
                </pt>
              </numCache>
            </numRef>
          </cat>
          <val>
            <numRef>
              <f>'Fluxo de Caixa'!$N$40:$N$41</f>
              <numCache>
                <formatCode>\R\$\ #,##0;[Red]\(\R\$\ #,##0\);\-</formatCode>
                <ptCount val="2"/>
                <pt idx="0">
                  <v>0</v>
                </pt>
                <pt idx="1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\R\$\ #,##0;[Red]\(\R\$\ #,##0\);\-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\R\$\ #,##0;[Red]\(\R\$\ #,##0\);\-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0</colOff>
      <row>43</row>
      <rowOff>0</rowOff>
    </from>
    <to>
      <col>15</col>
      <colOff>0</colOff>
      <row>58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"/>
  <sheetViews>
    <sheetView tabSelected="1" topLeftCell="A18" workbookViewId="0">
      <selection activeCell="O8" sqref="O8"/>
    </sheetView>
  </sheetViews>
  <sheetFormatPr baseColWidth="8" defaultRowHeight="14"/>
  <cols>
    <col width="34" customWidth="1" min="1" max="1"/>
    <col width="38" customWidth="1" min="2" max="2"/>
    <col width="15" customWidth="1" min="3" max="8"/>
    <col width="11" customWidth="1" min="9" max="14"/>
    <col width="14" customWidth="1" min="15" max="15"/>
  </cols>
  <sheetData>
    <row r="1" ht="20" customHeight="1">
      <c r="A1" s="20" t="inlineStr">
        <is>
          <t>FLUXO DE CAIXA — TEMPLATE DO BUSINESS CASE</t>
        </is>
      </c>
    </row>
    <row r="2" ht="17.4" customHeight="1">
      <c r="A2" s="21" t="inlineStr">
        <is>
          <t>Objetivo: transformar os investimentos, despesas e receitas já estimados em um cronograma de entradas e saídas de caixa.</t>
        </is>
      </c>
    </row>
    <row r="3" ht="14.5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14.5" customHeight="1">
      <c r="A4" s="6" t="inlineStr">
        <is>
          <t>PREMISSA</t>
        </is>
      </c>
      <c r="B4" s="6" t="inlineStr">
        <is>
          <t>VALOR</t>
        </is>
      </c>
      <c r="C4" s="5" t="n"/>
      <c r="D4" s="22" t="inlineStr">
        <is>
          <t>INSTRUÇÕES: revise todos os itens marcados como EXEMPLO; substitua, inclua ou zere conforme o projeto. Preencha entradas, CAPEX e OPEX como valores positivos. O Fluxo Líquido fará as subtrações automaticamente. Itens Não Caixa são informativos e não reduzem o caixa. Se inserir/excluir linhas, revise as fórmulas dos totais.</t>
        </is>
      </c>
    </row>
    <row r="5" ht="14.5" customHeight="1">
      <c r="A5" s="5" t="inlineStr">
        <is>
          <t>Mês previsto de go-live</t>
        </is>
      </c>
      <c r="B5" s="7" t="inlineStr">
        <is>
          <t>M1</t>
        </is>
      </c>
      <c r="C5" s="5" t="n"/>
    </row>
    <row r="6" ht="14.5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17" customHeight="1">
      <c r="A7" s="23" t="inlineStr">
        <is>
          <t>ANO 1 — VISÃO MENSAL</t>
        </is>
      </c>
    </row>
    <row r="8" ht="18.65" customHeight="1">
      <c r="A8" s="1" t="inlineStr">
        <is>
          <t>Item / classificação</t>
        </is>
      </c>
      <c r="B8" s="1" t="inlineStr">
        <is>
          <t>Premissa / observação</t>
        </is>
      </c>
      <c r="C8" s="2" t="inlineStr">
        <is>
          <t>M1</t>
        </is>
      </c>
      <c r="D8" s="2" t="inlineStr">
        <is>
          <t>M2</t>
        </is>
      </c>
      <c r="E8" s="2" t="inlineStr">
        <is>
          <t>M3</t>
        </is>
      </c>
      <c r="F8" s="2" t="inlineStr">
        <is>
          <t>M4</t>
        </is>
      </c>
      <c r="G8" s="2" t="inlineStr">
        <is>
          <t>M5</t>
        </is>
      </c>
      <c r="H8" s="2" t="inlineStr">
        <is>
          <t>M6</t>
        </is>
      </c>
      <c r="I8" s="2" t="inlineStr">
        <is>
          <t>M7</t>
        </is>
      </c>
      <c r="J8" s="2" t="inlineStr">
        <is>
          <t>M8</t>
        </is>
      </c>
      <c r="K8" s="2" t="inlineStr">
        <is>
          <t>M9</t>
        </is>
      </c>
      <c r="L8" s="2" t="inlineStr">
        <is>
          <t>M10</t>
        </is>
      </c>
      <c r="M8" s="2" t="inlineStr">
        <is>
          <t>M11</t>
        </is>
      </c>
      <c r="N8" s="2" t="inlineStr">
        <is>
          <t>M12</t>
        </is>
      </c>
      <c r="O8" s="2" t="inlineStr">
        <is>
          <t>Total Ano 1</t>
        </is>
      </c>
    </row>
    <row r="9" ht="14.5" customHeight="1">
      <c r="A9" s="24" t="inlineStr">
        <is>
          <t>1. ENTRADAS DE CAIXA</t>
        </is>
      </c>
    </row>
    <row r="10" ht="29" customHeight="1">
      <c r="A10" s="8" t="inlineStr">
        <is>
          <t>Receita principal (Assinaturas SaaS BusFlow)</t>
        </is>
      </c>
      <c r="B10" s="8" t="inlineStr">
        <is>
          <t>Ramp-up de 1 a 4 clientes no Ano 1 (R$ 10k/mês por cliente)</t>
        </is>
      </c>
      <c r="C10" s="9" t="n">
        <v>10000</v>
      </c>
      <c r="D10" s="9" t="n">
        <v>10000</v>
      </c>
      <c r="E10" s="9" t="n">
        <v>10000</v>
      </c>
      <c r="F10" s="9" t="n">
        <v>20000</v>
      </c>
      <c r="G10" s="9" t="n">
        <v>20000</v>
      </c>
      <c r="H10" s="9" t="n">
        <v>20000</v>
      </c>
      <c r="I10" s="9" t="n">
        <v>30000</v>
      </c>
      <c r="J10" s="9" t="n">
        <v>30000</v>
      </c>
      <c r="K10" s="9" t="n">
        <v>30000</v>
      </c>
      <c r="L10" s="9" t="n">
        <v>40000</v>
      </c>
      <c r="M10" s="9" t="n">
        <v>40000</v>
      </c>
      <c r="N10" s="9" t="n">
        <v>40000</v>
      </c>
      <c r="O10" s="10">
        <f>SUM(C10:N10)</f>
        <v/>
      </c>
    </row>
    <row r="11" ht="14.5" customHeight="1">
      <c r="A11" s="8" t="inlineStr">
        <is>
          <t>Receita adicional / Setup</t>
        </is>
      </c>
      <c r="B11" s="8" t="inlineStr">
        <is>
          <t>Não aplicável (modelo 100% assinatura SaaS)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10">
        <f>SUM(C11:N11)</f>
        <v/>
      </c>
    </row>
    <row r="12" ht="14.5" customHeight="1">
      <c r="A12" s="8" t="inlineStr">
        <is>
          <t>Subsídio / incentivo / aporte</t>
        </is>
      </c>
      <c r="B12" s="8" t="inlineStr">
        <is>
          <t>Não aplicável</t>
        </is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10">
        <f>SUM(C12:N12)</f>
        <v/>
      </c>
    </row>
    <row r="13" ht="14.5" customHeight="1">
      <c r="A13" s="8" t="inlineStr">
        <is>
          <t>Outra entrada</t>
        </is>
      </c>
      <c r="B13" s="8" t="inlineStr">
        <is>
          <t>Não aplicável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10">
        <f>SUM(C13:N13)</f>
        <v/>
      </c>
    </row>
    <row r="14" ht="14.5" customHeight="1">
      <c r="A14" s="25" t="inlineStr">
        <is>
          <t>TOTAL — ENTRADAS DE CAIXA</t>
        </is>
      </c>
      <c r="B14" s="36" t="n"/>
      <c r="C14" s="25">
        <f>SUM(C10:C13)</f>
        <v/>
      </c>
      <c r="D14" s="25">
        <f>SUM(D10:D13)</f>
        <v/>
      </c>
      <c r="E14" s="25">
        <f>SUM(E10:E13)</f>
        <v/>
      </c>
      <c r="F14" s="25">
        <f>SUM(F10:F13)</f>
        <v/>
      </c>
      <c r="G14" s="25">
        <f>SUM(G10:G13)</f>
        <v/>
      </c>
      <c r="H14" s="25">
        <f>SUM(H10:H13)</f>
        <v/>
      </c>
      <c r="I14" s="25">
        <f>SUM(I10:I13)</f>
        <v/>
      </c>
      <c r="J14" s="25">
        <f>SUM(J10:J13)</f>
        <v/>
      </c>
      <c r="K14" s="25">
        <f>SUM(K10:K13)</f>
        <v/>
      </c>
      <c r="L14" s="25">
        <f>SUM(L10:L13)</f>
        <v/>
      </c>
      <c r="M14" s="25">
        <f>SUM(M10:M13)</f>
        <v/>
      </c>
      <c r="N14" s="25">
        <f>SUM(N10:N13)</f>
        <v/>
      </c>
      <c r="O14" s="25">
        <f>SUM(C14:N14)</f>
        <v/>
      </c>
    </row>
    <row r="15" ht="14.5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 ht="14.5" customHeight="1">
      <c r="A16" s="26" t="inlineStr">
        <is>
          <t>2. INVESTIMENTOS — CAPEX</t>
        </is>
      </c>
    </row>
    <row r="17" ht="29" customHeight="1">
      <c r="A17" s="8" t="inlineStr">
        <is>
          <t>Desenvolvimento da solução</t>
        </is>
      </c>
      <c r="B17" s="8" t="inlineStr">
        <is>
          <t>Classificado como OPEX (Pessoal) na aba Investimentos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10">
        <f>SUM(C17:N17)</f>
        <v/>
      </c>
    </row>
    <row r="18" ht="14.5" customHeight="1">
      <c r="A18" s="8" t="inlineStr">
        <is>
          <t>Implantação / setup</t>
        </is>
      </c>
      <c r="B18" s="8" t="inlineStr">
        <is>
          <t>Incluso no escopo da equipe interna</t>
        </is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10">
        <f>SUM(C18:N18)</f>
        <v/>
      </c>
    </row>
    <row r="19" ht="29" customHeight="1">
      <c r="A19" s="8" t="inlineStr">
        <is>
          <t>Equipamentos / hardware</t>
        </is>
      </c>
      <c r="B19" s="8" t="inlineStr">
        <is>
          <t>Aquisição de 5 notebooks corporativos Dell/Lenovo (R$ 5.899/un)</t>
        </is>
      </c>
      <c r="C19" s="9" t="n">
        <v>29495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10">
        <f>SUM(C19:N19)</f>
        <v/>
      </c>
    </row>
    <row r="20" ht="29" customHeight="1">
      <c r="A20" s="8" t="inlineStr">
        <is>
          <t>Software / licença perpétua</t>
        </is>
      </c>
      <c r="B20" s="8" t="inlineStr">
        <is>
          <t>Não aplicável (softwares contratados como SaaS/OPEX)</t>
        </is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10">
        <f>SUM(C20:N20)</f>
        <v/>
      </c>
    </row>
    <row r="21" ht="14.5" customHeight="1">
      <c r="A21" s="8" t="inlineStr">
        <is>
          <t>Outro investimento</t>
        </is>
      </c>
      <c r="B21" s="8" t="inlineStr">
        <is>
          <t>Não aplicável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10">
        <f>SUM(C21:N21)</f>
        <v/>
      </c>
    </row>
    <row r="22" ht="14.5" customHeight="1">
      <c r="A22" s="27" t="inlineStr">
        <is>
          <t>TOTAL — CAPEX</t>
        </is>
      </c>
      <c r="B22" s="36" t="n"/>
      <c r="C22" s="27">
        <f>SUM(C17:C21)</f>
        <v/>
      </c>
      <c r="D22" s="27">
        <f>SUM(D17:D21)</f>
        <v/>
      </c>
      <c r="E22" s="27">
        <f>SUM(E17:E21)</f>
        <v/>
      </c>
      <c r="F22" s="27">
        <f>SUM(F17:F21)</f>
        <v/>
      </c>
      <c r="G22" s="27">
        <f>SUM(G17:G21)</f>
        <v/>
      </c>
      <c r="H22" s="27">
        <f>SUM(H17:H21)</f>
        <v/>
      </c>
      <c r="I22" s="27">
        <f>SUM(I17:I21)</f>
        <v/>
      </c>
      <c r="J22" s="27">
        <f>SUM(J17:J21)</f>
        <v/>
      </c>
      <c r="K22" s="27">
        <f>SUM(K17:K21)</f>
        <v/>
      </c>
      <c r="L22" s="27">
        <f>SUM(L17:L21)</f>
        <v/>
      </c>
      <c r="M22" s="27">
        <f>SUM(M17:M21)</f>
        <v/>
      </c>
      <c r="N22" s="27">
        <f>SUM(N17:N21)</f>
        <v/>
      </c>
      <c r="O22" s="27">
        <f>SUM(C22:N22)</f>
        <v/>
      </c>
    </row>
    <row r="23" ht="14.5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 ht="14.5" customHeight="1">
      <c r="A24" s="28" t="inlineStr">
        <is>
          <t>3. DESPESAS OPERACIONAIS — OPEX</t>
        </is>
      </c>
    </row>
    <row r="25" ht="29" customHeight="1">
      <c r="A25" s="8" t="inlineStr">
        <is>
          <t>Pessoas / operação (Equipe Dev)</t>
        </is>
      </c>
      <c r="B25" s="8" t="inlineStr">
        <is>
          <t>3 desenvolvedores plenos (R$ 26.671,05/mês total)</t>
        </is>
      </c>
      <c r="C25" s="9" t="n">
        <v>26671.05</v>
      </c>
      <c r="D25" s="9" t="n">
        <v>26671.05</v>
      </c>
      <c r="E25" s="9" t="n">
        <v>26671.05</v>
      </c>
      <c r="F25" s="9" t="n">
        <v>26671.05</v>
      </c>
      <c r="G25" s="9" t="n">
        <v>26671.05</v>
      </c>
      <c r="H25" s="9" t="n">
        <v>26671.05</v>
      </c>
      <c r="I25" s="9" t="n">
        <v>26671.05</v>
      </c>
      <c r="J25" s="9" t="n">
        <v>26671.05</v>
      </c>
      <c r="K25" s="9" t="n">
        <v>26671.05</v>
      </c>
      <c r="L25" s="9" t="n">
        <v>26671.05</v>
      </c>
      <c r="M25" s="9" t="n">
        <v>26671.05</v>
      </c>
      <c r="N25" s="9" t="n">
        <v>26671.05</v>
      </c>
      <c r="O25" s="10">
        <f>SUM(C25:N25)</f>
        <v/>
      </c>
    </row>
    <row r="26" ht="14.5" customHeight="1">
      <c r="A26" s="8" t="inlineStr">
        <is>
          <t>Cloud / infraestrutura</t>
        </is>
      </c>
      <c r="B26" s="8" t="inlineStr">
        <is>
          <t>AWS: EC2, RDS, cache, storage e rede (R$ 3.906,00/mês)</t>
        </is>
      </c>
      <c r="C26" s="9" t="n">
        <v>3906</v>
      </c>
      <c r="D26" s="9" t="n">
        <v>3906</v>
      </c>
      <c r="E26" s="9" t="n">
        <v>3906</v>
      </c>
      <c r="F26" s="9" t="n">
        <v>3906</v>
      </c>
      <c r="G26" s="9" t="n">
        <v>3906</v>
      </c>
      <c r="H26" s="9" t="n">
        <v>3906</v>
      </c>
      <c r="I26" s="9" t="n">
        <v>3906</v>
      </c>
      <c r="J26" s="9" t="n">
        <v>3906</v>
      </c>
      <c r="K26" s="9" t="n">
        <v>3906</v>
      </c>
      <c r="L26" s="9" t="n">
        <v>3906</v>
      </c>
      <c r="M26" s="9" t="n">
        <v>3906</v>
      </c>
      <c r="N26" s="9" t="n">
        <v>3906</v>
      </c>
      <c r="O26" s="10">
        <f>SUM(C26:N26)</f>
        <v/>
      </c>
    </row>
    <row r="27" ht="14.5" customHeight="1">
      <c r="A27" s="8" t="inlineStr">
        <is>
          <t>Licenças / assinaturas</t>
        </is>
      </c>
      <c r="B27" s="8" t="inlineStr">
        <is>
          <t>Claude API (R$ 288,75/mês) + Observabilidade SaaS (R$ 1.000/mês) + Domínio (R$ 42 em M1)</t>
        </is>
      </c>
      <c r="C27" s="9" t="n">
        <v>1330.75</v>
      </c>
      <c r="D27" s="9" t="n">
        <v>1288.75</v>
      </c>
      <c r="E27" s="9" t="n">
        <v>1288.75</v>
      </c>
      <c r="F27" s="9" t="n">
        <v>1288.75</v>
      </c>
      <c r="G27" s="9" t="n">
        <v>1288.75</v>
      </c>
      <c r="H27" s="9" t="n">
        <v>1288.75</v>
      </c>
      <c r="I27" s="9" t="n">
        <v>1288.75</v>
      </c>
      <c r="J27" s="9" t="n">
        <v>1288.75</v>
      </c>
      <c r="K27" s="9" t="n">
        <v>1288.75</v>
      </c>
      <c r="L27" s="9" t="n">
        <v>1288.75</v>
      </c>
      <c r="M27" s="9" t="n">
        <v>1288.75</v>
      </c>
      <c r="N27" s="9" t="n">
        <v>1288.75</v>
      </c>
      <c r="O27" s="10">
        <f>SUM(C27:N27)</f>
        <v/>
      </c>
    </row>
    <row r="28" ht="29" customHeight="1">
      <c r="A28" s="8" t="inlineStr">
        <is>
          <t>Suporte / sustentação</t>
        </is>
      </c>
      <c r="B28" s="8" t="inlineStr">
        <is>
          <t>2 analistas de suporte técnico pós-go-live (R$ 7.190,00/mês)</t>
        </is>
      </c>
      <c r="C28" s="9" t="n">
        <v>7190</v>
      </c>
      <c r="D28" s="9" t="n">
        <v>7190</v>
      </c>
      <c r="E28" s="9" t="n">
        <v>7190</v>
      </c>
      <c r="F28" s="9" t="n">
        <v>7190</v>
      </c>
      <c r="G28" s="9" t="n">
        <v>7190</v>
      </c>
      <c r="H28" s="9" t="n">
        <v>7190</v>
      </c>
      <c r="I28" s="9" t="n">
        <v>7190</v>
      </c>
      <c r="J28" s="9" t="n">
        <v>7190</v>
      </c>
      <c r="K28" s="9" t="n">
        <v>7190</v>
      </c>
      <c r="L28" s="9" t="n">
        <v>7190</v>
      </c>
      <c r="M28" s="9" t="n">
        <v>7190</v>
      </c>
      <c r="N28" s="9" t="n">
        <v>7190</v>
      </c>
      <c r="O28" s="10">
        <f>SUM(C28:N28)</f>
        <v/>
      </c>
    </row>
    <row r="29" ht="14.5" customHeight="1">
      <c r="A29" s="8" t="inlineStr">
        <is>
          <t>Marketing / aquisição</t>
        </is>
      </c>
      <c r="B29" s="8" t="inlineStr">
        <is>
          <t>GTM B2B: Lançamento no M1 (R$ 12k) + Recorrente (R$ 3k/mês)</t>
        </is>
      </c>
      <c r="C29" s="9" t="n">
        <v>15000</v>
      </c>
      <c r="D29" s="9" t="n">
        <v>3000</v>
      </c>
      <c r="E29" s="9" t="n">
        <v>3000</v>
      </c>
      <c r="F29" s="9" t="n">
        <v>3000</v>
      </c>
      <c r="G29" s="9" t="n">
        <v>3000</v>
      </c>
      <c r="H29" s="9" t="n">
        <v>3000</v>
      </c>
      <c r="I29" s="9" t="n">
        <v>3000</v>
      </c>
      <c r="J29" s="9" t="n">
        <v>3000</v>
      </c>
      <c r="K29" s="9" t="n">
        <v>3000</v>
      </c>
      <c r="L29" s="9" t="n">
        <v>3000</v>
      </c>
      <c r="M29" s="9" t="n">
        <v>3000</v>
      </c>
      <c r="N29" s="9" t="n">
        <v>3000</v>
      </c>
      <c r="O29" s="10">
        <f>SUM(C29:N29)</f>
        <v/>
      </c>
    </row>
    <row r="30" ht="14.5" customHeight="1">
      <c r="A30" s="8" t="inlineStr">
        <is>
          <t>Serviços de terceiros</t>
        </is>
      </c>
      <c r="B30" s="8" t="inlineStr">
        <is>
          <t>Contabilidade (R$ 350/mês) + Treinamento inicial no M1 (R$ 4.000)</t>
        </is>
      </c>
      <c r="C30" s="9" t="n">
        <v>4350</v>
      </c>
      <c r="D30" s="9" t="n">
        <v>350</v>
      </c>
      <c r="E30" s="9" t="n">
        <v>350</v>
      </c>
      <c r="F30" s="9" t="n">
        <v>350</v>
      </c>
      <c r="G30" s="9" t="n">
        <v>350</v>
      </c>
      <c r="H30" s="9" t="n">
        <v>350</v>
      </c>
      <c r="I30" s="9" t="n">
        <v>350</v>
      </c>
      <c r="J30" s="9" t="n">
        <v>350</v>
      </c>
      <c r="K30" s="9" t="n">
        <v>350</v>
      </c>
      <c r="L30" s="9" t="n">
        <v>350</v>
      </c>
      <c r="M30" s="9" t="n">
        <v>350</v>
      </c>
      <c r="N30" s="9" t="n">
        <v>350</v>
      </c>
      <c r="O30" s="10">
        <f>SUM(C30:N30)</f>
        <v/>
      </c>
    </row>
    <row r="31" ht="14.5" customHeight="1">
      <c r="A31" s="8" t="inlineStr">
        <is>
          <t>Outro OPEX</t>
        </is>
      </c>
      <c r="B31" s="8" t="inlineStr">
        <is>
          <t>Reserva de contingência operacional (R$ 2.000 no ano)</t>
        </is>
      </c>
      <c r="C31" s="9" t="n">
        <v>166.66</v>
      </c>
      <c r="D31" s="9" t="n">
        <v>166.66</v>
      </c>
      <c r="E31" s="9" t="n">
        <v>166.66</v>
      </c>
      <c r="F31" s="9" t="n">
        <v>166.66</v>
      </c>
      <c r="G31" s="9" t="n">
        <v>166.66</v>
      </c>
      <c r="H31" s="9" t="n">
        <v>166.66</v>
      </c>
      <c r="I31" s="9" t="n">
        <v>166.66</v>
      </c>
      <c r="J31" s="9" t="n">
        <v>166.66</v>
      </c>
      <c r="K31" s="9" t="n">
        <v>166.66</v>
      </c>
      <c r="L31" s="9" t="n">
        <v>166.66</v>
      </c>
      <c r="M31" s="9" t="n">
        <v>166.66</v>
      </c>
      <c r="N31" s="9" t="n">
        <v>166.74</v>
      </c>
      <c r="O31" s="10">
        <f>SUM(C31:N31)</f>
        <v/>
      </c>
    </row>
    <row r="32" ht="14.5" customHeight="1">
      <c r="A32" s="29" t="inlineStr">
        <is>
          <t>TOTAL — OPEX</t>
        </is>
      </c>
      <c r="B32" s="36" t="n"/>
      <c r="C32" s="29">
        <f>SUM(C25:C31)</f>
        <v/>
      </c>
      <c r="D32" s="29">
        <f>SUM(D25:D31)</f>
        <v/>
      </c>
      <c r="E32" s="29">
        <f>SUM(E25:E31)</f>
        <v/>
      </c>
      <c r="F32" s="29">
        <f>SUM(F25:F31)</f>
        <v/>
      </c>
      <c r="G32" s="29">
        <f>SUM(G25:G31)</f>
        <v/>
      </c>
      <c r="H32" s="29">
        <f>SUM(H25:H31)</f>
        <v/>
      </c>
      <c r="I32" s="29">
        <f>SUM(I25:I31)</f>
        <v/>
      </c>
      <c r="J32" s="29">
        <f>SUM(J25:J31)</f>
        <v/>
      </c>
      <c r="K32" s="29">
        <f>SUM(K25:K31)</f>
        <v/>
      </c>
      <c r="L32" s="29">
        <f>SUM(L25:L31)</f>
        <v/>
      </c>
      <c r="M32" s="29">
        <f>SUM(M25:M31)</f>
        <v/>
      </c>
      <c r="N32" s="29">
        <f>SUM(N25:N31)</f>
        <v/>
      </c>
      <c r="O32" s="29">
        <f>SUM(C32:N32)</f>
        <v/>
      </c>
    </row>
    <row r="33" ht="14.5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 ht="14.5" customHeight="1">
      <c r="A34" s="30" t="inlineStr">
        <is>
          <t>4. ITENS SEM MOVIMENTAÇÃO DE CAIXA — NÃO CAIXA</t>
        </is>
      </c>
    </row>
    <row r="35" ht="14.5" customHeight="1">
      <c r="A35" s="8" t="inlineStr">
        <is>
          <t>Depreciação</t>
        </is>
      </c>
      <c r="B35" s="8" t="inlineStr">
        <is>
          <t>Informativo: depreciação de hardware (não reduz caixa)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10">
        <f>SUM(C35:N35)</f>
        <v/>
      </c>
    </row>
    <row r="36" ht="14.5" customHeight="1">
      <c r="A36" s="8" t="inlineStr">
        <is>
          <t>Amortização</t>
        </is>
      </c>
      <c r="B36" s="8" t="inlineStr">
        <is>
          <t>Informativo: amortização de software (não reduz caixa)</t>
        </is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10">
        <f>SUM(C36:N36)</f>
        <v/>
      </c>
    </row>
    <row r="37" ht="14.5" customHeight="1">
      <c r="A37" s="8" t="inlineStr">
        <is>
          <t>Outro item não caixa</t>
        </is>
      </c>
      <c r="B37" s="8" t="inlineStr">
        <is>
          <t>Não aplicável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10">
        <f>SUM(C37:N37)</f>
        <v/>
      </c>
    </row>
    <row r="38" ht="14.5" customHeight="1">
      <c r="A38" s="31" t="inlineStr">
        <is>
          <t>TOTAL — ITENS NÃO CAIXA (INFORMATIVO)</t>
        </is>
      </c>
      <c r="B38" s="36" t="n"/>
      <c r="C38" s="31">
        <f>SUM(C35:C37)</f>
        <v/>
      </c>
      <c r="D38" s="31">
        <f>SUM(D35:D37)</f>
        <v/>
      </c>
      <c r="E38" s="31">
        <f>SUM(E35:E37)</f>
        <v/>
      </c>
      <c r="F38" s="31">
        <f>SUM(F35:F37)</f>
        <v/>
      </c>
      <c r="G38" s="31">
        <f>SUM(G35:G37)</f>
        <v/>
      </c>
      <c r="H38" s="31">
        <f>SUM(H35:H37)</f>
        <v/>
      </c>
      <c r="I38" s="31">
        <f>SUM(I35:I37)</f>
        <v/>
      </c>
      <c r="J38" s="31">
        <f>SUM(J35:J37)</f>
        <v/>
      </c>
      <c r="K38" s="31">
        <f>SUM(K35:K37)</f>
        <v/>
      </c>
      <c r="L38" s="31">
        <f>SUM(L35:L37)</f>
        <v/>
      </c>
      <c r="M38" s="31">
        <f>SUM(M35:M37)</f>
        <v/>
      </c>
      <c r="N38" s="31">
        <f>SUM(N35:N37)</f>
        <v/>
      </c>
      <c r="O38" s="31">
        <f>SUM(C38:N38)</f>
        <v/>
      </c>
    </row>
    <row r="39" ht="14.5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 ht="14.5" customHeight="1">
      <c r="A40" s="32" t="inlineStr">
        <is>
          <t>FLUXO LÍQUIDO DO MÊS</t>
        </is>
      </c>
      <c r="B40" s="37" t="n"/>
      <c r="C40" s="32">
        <f>C14-C22-C32</f>
        <v/>
      </c>
      <c r="D40" s="32">
        <f>D14-D22-D32</f>
        <v/>
      </c>
      <c r="E40" s="32">
        <f>E14-E22-E32</f>
        <v/>
      </c>
      <c r="F40" s="32">
        <f>F14-F22-F32</f>
        <v/>
      </c>
      <c r="G40" s="32">
        <f>G14-G22-G32</f>
        <v/>
      </c>
      <c r="H40" s="32">
        <f>H14-H22-H32</f>
        <v/>
      </c>
      <c r="I40" s="32">
        <f>I14-I22-I32</f>
        <v/>
      </c>
      <c r="J40" s="32">
        <f>J14-J22-J32</f>
        <v/>
      </c>
      <c r="K40" s="32">
        <f>K14-K22-K32</f>
        <v/>
      </c>
      <c r="L40" s="32">
        <f>L14-L22-L32</f>
        <v/>
      </c>
      <c r="M40" s="32">
        <f>M14-M22-M32</f>
        <v/>
      </c>
      <c r="N40" s="32">
        <f>N14-N22-N32</f>
        <v/>
      </c>
      <c r="O40" s="32">
        <f>SUM(C40:N40)</f>
        <v/>
      </c>
    </row>
    <row r="41" ht="14.5" customHeight="1">
      <c r="A41" s="33" t="inlineStr">
        <is>
          <t>FLUXO ACUMULADO</t>
        </is>
      </c>
      <c r="B41" s="38" t="n"/>
      <c r="C41" s="33">
        <f>C40</f>
        <v/>
      </c>
      <c r="D41" s="33">
        <f>C41+D40</f>
        <v/>
      </c>
      <c r="E41" s="33">
        <f>D41+E40</f>
        <v/>
      </c>
      <c r="F41" s="33">
        <f>E41+F40</f>
        <v/>
      </c>
      <c r="G41" s="33">
        <f>F41+G40</f>
        <v/>
      </c>
      <c r="H41" s="33">
        <f>G41+H40</f>
        <v/>
      </c>
      <c r="I41" s="33">
        <f>H41+I40</f>
        <v/>
      </c>
      <c r="J41" s="33">
        <f>I41+J40</f>
        <v/>
      </c>
      <c r="K41" s="33">
        <f>J41+K40</f>
        <v/>
      </c>
      <c r="L41" s="33">
        <f>K41+L40</f>
        <v/>
      </c>
      <c r="M41" s="33">
        <f>L41+M40</f>
        <v/>
      </c>
      <c r="N41" s="33">
        <f>M41+N40</f>
        <v/>
      </c>
      <c r="O41" s="33">
        <f>N41</f>
        <v/>
      </c>
    </row>
    <row r="42" ht="14.5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 ht="14.5" customHeight="1">
      <c r="A43" s="34" t="inlineStr">
        <is>
          <t>CHECKS DO ANO 1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 ht="14.5" customHeight="1">
      <c r="A44" s="16" t="inlineStr">
        <is>
          <t>Indicador</t>
        </is>
      </c>
      <c r="B44" s="16" t="inlineStr">
        <is>
          <t>Valor</t>
        </is>
      </c>
      <c r="C44" s="5" t="n"/>
      <c r="D44" s="16" t="inlineStr">
        <is>
          <t>Indicador</t>
        </is>
      </c>
      <c r="E44" s="16" t="inlineStr">
        <is>
          <t>Valor</t>
        </is>
      </c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 ht="14.5" customHeight="1">
      <c r="A45" s="5" t="inlineStr">
        <is>
          <t>Total de Entradas</t>
        </is>
      </c>
      <c r="B45" s="17">
        <f>O14</f>
        <v/>
      </c>
      <c r="C45" s="5" t="n"/>
      <c r="D45" s="5" t="inlineStr">
        <is>
          <t>Maior necessidade de caixa</t>
        </is>
      </c>
      <c r="E45" s="17">
        <f>-MIN(0,MIN(C41:N41))</f>
        <v/>
      </c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 ht="14.5" customHeight="1">
      <c r="A46" s="5" t="inlineStr">
        <is>
          <t>Total CAPEX</t>
        </is>
      </c>
      <c r="B46" s="17">
        <f>O22</f>
        <v/>
      </c>
      <c r="C46" s="5" t="n"/>
      <c r="D46" s="5" t="inlineStr">
        <is>
          <t>Saldo ao final do Ano 1</t>
        </is>
      </c>
      <c r="E46" s="17">
        <f>N41</f>
        <v/>
      </c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 ht="14.5" customHeight="1">
      <c r="A47" s="5" t="inlineStr">
        <is>
          <t>Total OPEX</t>
        </is>
      </c>
      <c r="B47" s="17">
        <f>O32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 ht="14.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 ht="14.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 ht="17" customHeight="1">
      <c r="A50" s="23" t="inlineStr">
        <is>
          <t>VISÃO CONSOLIDADA — ANOS 1 A 5</t>
        </is>
      </c>
      <c r="I50" s="5" t="n"/>
      <c r="J50" s="5" t="n"/>
      <c r="K50" s="5" t="n"/>
      <c r="L50" s="5" t="n"/>
      <c r="M50" s="5" t="n"/>
      <c r="N50" s="5" t="n"/>
      <c r="O50" s="5" t="n"/>
    </row>
    <row r="51" ht="21.4" customHeight="1">
      <c r="A51" s="3" t="inlineStr">
        <is>
          <t>Item / classificação</t>
        </is>
      </c>
      <c r="B51" s="3" t="inlineStr">
        <is>
          <t>Premissa / observação</t>
        </is>
      </c>
      <c r="C51" s="4" t="inlineStr">
        <is>
          <t>Ano 1
(auto)</t>
        </is>
      </c>
      <c r="D51" s="4" t="inlineStr">
        <is>
          <t>Ano 2</t>
        </is>
      </c>
      <c r="E51" s="4" t="inlineStr">
        <is>
          <t>Ano 3</t>
        </is>
      </c>
      <c r="F51" s="4" t="inlineStr">
        <is>
          <t>Ano 4</t>
        </is>
      </c>
      <c r="G51" s="4" t="inlineStr">
        <is>
          <t>Ano 5</t>
        </is>
      </c>
      <c r="H51" s="4" t="inlineStr">
        <is>
          <t>Total 5 anos</t>
        </is>
      </c>
      <c r="I51" s="5" t="n"/>
      <c r="J51" s="5" t="n"/>
      <c r="K51" s="5" t="n"/>
      <c r="L51" s="5" t="n"/>
      <c r="M51" s="5" t="n"/>
      <c r="N51" s="5" t="n"/>
      <c r="O51" s="5" t="n"/>
    </row>
    <row r="52" ht="14.5" customHeight="1">
      <c r="A52" s="24" t="inlineStr">
        <is>
          <t>1. ENTRADAS DE CAIXA</t>
        </is>
      </c>
      <c r="I52" s="5" t="n"/>
      <c r="J52" s="5" t="n"/>
      <c r="K52" s="5" t="n"/>
      <c r="L52" s="5" t="n"/>
      <c r="M52" s="5" t="n"/>
      <c r="N52" s="5" t="n"/>
      <c r="O52" s="5" t="n"/>
    </row>
    <row r="53" ht="29" customHeight="1">
      <c r="A53" s="8" t="inlineStr">
        <is>
          <t>Receita principal (Assinaturas SaaS BusFlow)</t>
        </is>
      </c>
      <c r="B53" s="8" t="inlineStr">
        <is>
          <t>Conforme Projeção de Receitas (expansão gradual de clientes e faturamento)</t>
        </is>
      </c>
      <c r="C53" s="18">
        <f>O10</f>
        <v/>
      </c>
      <c r="D53" s="9" t="n">
        <v>813960</v>
      </c>
      <c r="E53" s="9" t="n">
        <v>1571724</v>
      </c>
      <c r="F53" s="9" t="n">
        <v>2718566.55</v>
      </c>
      <c r="G53" s="9" t="n">
        <v>4129316.9832</v>
      </c>
      <c r="H53" s="10">
        <f>SUM(C53:G53)</f>
        <v/>
      </c>
      <c r="I53" s="5" t="n"/>
      <c r="J53" s="5" t="n"/>
      <c r="K53" s="5" t="n"/>
      <c r="L53" s="5" t="n"/>
      <c r="M53" s="5" t="n"/>
      <c r="N53" s="5" t="n"/>
      <c r="O53" s="5" t="n"/>
    </row>
    <row r="54" ht="29" customHeight="1">
      <c r="A54" s="8" t="inlineStr">
        <is>
          <t>Receita adicional / Setup</t>
        </is>
      </c>
      <c r="B54" s="8" t="inlineStr">
        <is>
          <t>Não aplicável</t>
        </is>
      </c>
      <c r="C54" s="18">
        <f>O11</f>
        <v/>
      </c>
      <c r="D54" s="9" t="n">
        <v>0</v>
      </c>
      <c r="E54" s="9" t="n">
        <v>0</v>
      </c>
      <c r="F54" s="9" t="n">
        <v>0</v>
      </c>
      <c r="G54" s="9" t="n">
        <v>0</v>
      </c>
      <c r="H54" s="10">
        <f>SUM(C54:G54)</f>
        <v/>
      </c>
      <c r="I54" s="5" t="n"/>
      <c r="J54" s="5" t="n"/>
      <c r="K54" s="5" t="n"/>
      <c r="L54" s="5" t="n"/>
      <c r="M54" s="5" t="n"/>
      <c r="N54" s="5" t="n"/>
      <c r="O54" s="5" t="n"/>
    </row>
    <row r="55" ht="29" customHeight="1">
      <c r="A55" s="8" t="inlineStr">
        <is>
          <t>Subsídio / incentivo / aporte</t>
        </is>
      </c>
      <c r="B55" s="8" t="inlineStr">
        <is>
          <t>Não aplicável</t>
        </is>
      </c>
      <c r="C55" s="18">
        <f>O12</f>
        <v/>
      </c>
      <c r="D55" s="9" t="n">
        <v>0</v>
      </c>
      <c r="E55" s="9" t="n">
        <v>0</v>
      </c>
      <c r="F55" s="9" t="n">
        <v>0</v>
      </c>
      <c r="G55" s="9" t="n">
        <v>0</v>
      </c>
      <c r="H55" s="10">
        <f>SUM(C55:G55)</f>
        <v/>
      </c>
      <c r="I55" s="5" t="n"/>
      <c r="J55" s="5" t="n"/>
      <c r="K55" s="5" t="n"/>
      <c r="L55" s="5" t="n"/>
      <c r="M55" s="5" t="n"/>
      <c r="N55" s="5" t="n"/>
      <c r="O55" s="5" t="n"/>
    </row>
    <row r="56" ht="29" customHeight="1">
      <c r="A56" s="8" t="inlineStr">
        <is>
          <t>Outra entrada</t>
        </is>
      </c>
      <c r="B56" s="8" t="inlineStr">
        <is>
          <t>Não aplicável</t>
        </is>
      </c>
      <c r="C56" s="18">
        <f>O13</f>
        <v/>
      </c>
      <c r="D56" s="9" t="n">
        <v>0</v>
      </c>
      <c r="E56" s="9" t="n">
        <v>0</v>
      </c>
      <c r="F56" s="9" t="n">
        <v>0</v>
      </c>
      <c r="G56" s="9" t="n">
        <v>0</v>
      </c>
      <c r="H56" s="10">
        <f>SUM(C56:G56)</f>
        <v/>
      </c>
      <c r="I56" s="5" t="n"/>
      <c r="J56" s="5" t="n"/>
      <c r="K56" s="5" t="n"/>
      <c r="L56" s="5" t="n"/>
      <c r="M56" s="5" t="n"/>
      <c r="N56" s="5" t="n"/>
      <c r="O56" s="5" t="n"/>
    </row>
    <row r="57" ht="14.5" customHeight="1">
      <c r="A57" s="25" t="inlineStr">
        <is>
          <t>TOTAL — ENTRADAS DE CAIXA</t>
        </is>
      </c>
      <c r="B57" s="36" t="n"/>
      <c r="C57" s="25">
        <f>SUM(C53:C56)</f>
        <v/>
      </c>
      <c r="D57" s="25">
        <f>SUM(D53:D56)</f>
        <v/>
      </c>
      <c r="E57" s="25">
        <f>SUM(E53:E56)</f>
        <v/>
      </c>
      <c r="F57" s="25">
        <f>SUM(F53:F56)</f>
        <v/>
      </c>
      <c r="G57" s="25">
        <f>SUM(G53:G56)</f>
        <v/>
      </c>
      <c r="H57" s="25">
        <f>SUM(C57:G57)</f>
        <v/>
      </c>
      <c r="I57" s="5" t="n"/>
      <c r="J57" s="5" t="n"/>
      <c r="K57" s="5" t="n"/>
      <c r="L57" s="5" t="n"/>
      <c r="M57" s="5" t="n"/>
      <c r="N57" s="5" t="n"/>
      <c r="O57" s="5" t="n"/>
    </row>
    <row r="58" ht="14.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 ht="14.5" customHeight="1">
      <c r="A59" s="26" t="inlineStr">
        <is>
          <t>2. INVESTIMENTOS — CAPEX</t>
        </is>
      </c>
      <c r="I59" s="5" t="n"/>
      <c r="J59" s="5" t="n"/>
      <c r="K59" s="5" t="n"/>
      <c r="L59" s="5" t="n"/>
      <c r="M59" s="5" t="n"/>
      <c r="N59" s="5" t="n"/>
      <c r="O59" s="5" t="n"/>
    </row>
    <row r="60" ht="29" customHeight="1">
      <c r="A60" s="8" t="inlineStr">
        <is>
          <t>Desenvolvimento da solução</t>
        </is>
      </c>
      <c r="B60" s="8" t="inlineStr">
        <is>
          <t>Classificado como OPEX (Pessoal)</t>
        </is>
      </c>
      <c r="C60" s="18">
        <f>O17</f>
        <v/>
      </c>
      <c r="D60" s="9" t="n">
        <v>0</v>
      </c>
      <c r="E60" s="9" t="n">
        <v>0</v>
      </c>
      <c r="F60" s="9" t="n">
        <v>0</v>
      </c>
      <c r="G60" s="9" t="n">
        <v>0</v>
      </c>
      <c r="H60" s="10">
        <f>SUM(C60:G60)</f>
        <v/>
      </c>
      <c r="I60" s="5" t="n"/>
      <c r="J60" s="5" t="n"/>
      <c r="K60" s="5" t="n"/>
      <c r="L60" s="5" t="n"/>
      <c r="M60" s="5" t="n"/>
      <c r="N60" s="5" t="n"/>
      <c r="O60" s="5" t="n"/>
    </row>
    <row r="61" ht="29" customHeight="1">
      <c r="A61" s="8" t="inlineStr">
        <is>
          <t>Implantação / setup</t>
        </is>
      </c>
      <c r="B61" s="8" t="inlineStr">
        <is>
          <t>Incluso na equipe interna</t>
        </is>
      </c>
      <c r="C61" s="18">
        <f>O18</f>
        <v/>
      </c>
      <c r="D61" s="9" t="n">
        <v>0</v>
      </c>
      <c r="E61" s="9" t="n">
        <v>0</v>
      </c>
      <c r="F61" s="9" t="n">
        <v>0</v>
      </c>
      <c r="G61" s="9" t="n">
        <v>0</v>
      </c>
      <c r="H61" s="10">
        <f>SUM(C61:G61)</f>
        <v/>
      </c>
      <c r="I61" s="5" t="n"/>
      <c r="J61" s="5" t="n"/>
      <c r="K61" s="5" t="n"/>
      <c r="L61" s="5" t="n"/>
      <c r="M61" s="5" t="n"/>
      <c r="N61" s="5" t="n"/>
      <c r="O61" s="5" t="n"/>
    </row>
    <row r="62" ht="29" customHeight="1">
      <c r="A62" s="8" t="inlineStr">
        <is>
          <t>Equipamentos / hardware</t>
        </is>
      </c>
      <c r="B62" s="8" t="inlineStr">
        <is>
          <t>Aquisição de notebooks corporativos no Ano 1 e reposição integral no Ano 3</t>
        </is>
      </c>
      <c r="C62" s="18">
        <f>O19</f>
        <v/>
      </c>
      <c r="D62" s="9" t="n">
        <v>0</v>
      </c>
      <c r="E62" s="9" t="n">
        <v>34144.149375</v>
      </c>
      <c r="F62" s="9" t="n">
        <v>0</v>
      </c>
      <c r="G62" s="9" t="n">
        <v>0</v>
      </c>
      <c r="H62" s="10">
        <f>SUM(C62:G62)</f>
        <v/>
      </c>
      <c r="I62" s="5" t="n"/>
      <c r="J62" s="5" t="n"/>
      <c r="K62" s="5" t="n"/>
      <c r="L62" s="5" t="n"/>
      <c r="M62" s="5" t="n"/>
      <c r="N62" s="5" t="n"/>
      <c r="O62" s="5" t="n"/>
    </row>
    <row r="63" ht="29" customHeight="1">
      <c r="A63" s="8" t="inlineStr">
        <is>
          <t>Software / licença perpétua</t>
        </is>
      </c>
      <c r="B63" s="8" t="inlineStr">
        <is>
          <t>Não aplicável</t>
        </is>
      </c>
      <c r="C63" s="18">
        <f>O20</f>
        <v/>
      </c>
      <c r="D63" s="9" t="n">
        <v>0</v>
      </c>
      <c r="E63" s="9" t="n">
        <v>0</v>
      </c>
      <c r="F63" s="9" t="n">
        <v>0</v>
      </c>
      <c r="G63" s="9" t="n">
        <v>0</v>
      </c>
      <c r="H63" s="10">
        <f>SUM(C63:G63)</f>
        <v/>
      </c>
      <c r="I63" s="5" t="n"/>
      <c r="J63" s="5" t="n"/>
      <c r="K63" s="5" t="n"/>
      <c r="L63" s="5" t="n"/>
      <c r="M63" s="5" t="n"/>
      <c r="N63" s="5" t="n"/>
      <c r="O63" s="5" t="n"/>
    </row>
    <row r="64" ht="29" customHeight="1">
      <c r="A64" s="8" t="inlineStr">
        <is>
          <t>Outro investimento</t>
        </is>
      </c>
      <c r="B64" s="8" t="inlineStr">
        <is>
          <t>Não aplicável</t>
        </is>
      </c>
      <c r="C64" s="18">
        <f>O21</f>
        <v/>
      </c>
      <c r="D64" s="9" t="n">
        <v>0</v>
      </c>
      <c r="E64" s="9" t="n">
        <v>0</v>
      </c>
      <c r="F64" s="9" t="n">
        <v>0</v>
      </c>
      <c r="G64" s="9" t="n">
        <v>0</v>
      </c>
      <c r="H64" s="10">
        <f>SUM(C64:G64)</f>
        <v/>
      </c>
      <c r="I64" s="5" t="n"/>
      <c r="J64" s="5" t="n"/>
      <c r="K64" s="5" t="n"/>
      <c r="L64" s="5" t="n"/>
      <c r="M64" s="5" t="n"/>
      <c r="N64" s="5" t="n"/>
      <c r="O64" s="5" t="n"/>
    </row>
    <row r="65" ht="14.5" customHeight="1">
      <c r="A65" s="27" t="inlineStr">
        <is>
          <t>TOTAL — CAPEX</t>
        </is>
      </c>
      <c r="B65" s="36" t="n"/>
      <c r="C65" s="27">
        <f>SUM(C60:C64)</f>
        <v/>
      </c>
      <c r="D65" s="27">
        <f>SUM(D60:D64)</f>
        <v/>
      </c>
      <c r="E65" s="27">
        <f>SUM(E60:E64)</f>
        <v/>
      </c>
      <c r="F65" s="27">
        <f>SUM(F60:F64)</f>
        <v/>
      </c>
      <c r="G65" s="27">
        <f>SUM(G60:G64)</f>
        <v/>
      </c>
      <c r="H65" s="27">
        <f>SUM(C65:G65)</f>
        <v/>
      </c>
      <c r="I65" s="5" t="n"/>
      <c r="J65" s="5" t="n"/>
      <c r="K65" s="5" t="n"/>
      <c r="L65" s="5" t="n"/>
      <c r="M65" s="5" t="n"/>
      <c r="N65" s="5" t="n"/>
      <c r="O65" s="5" t="n"/>
    </row>
    <row r="66" ht="14.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 ht="14.5" customHeight="1">
      <c r="A67" s="28" t="inlineStr">
        <is>
          <t>3. DESPESAS OPERACIONAIS — OPEX</t>
        </is>
      </c>
      <c r="I67" s="5" t="n"/>
      <c r="J67" s="5" t="n"/>
      <c r="K67" s="5" t="n"/>
      <c r="L67" s="5" t="n"/>
      <c r="M67" s="5" t="n"/>
      <c r="N67" s="5" t="n"/>
      <c r="O67" s="5" t="n"/>
    </row>
    <row r="68" ht="29" customHeight="1">
      <c r="A68" s="8" t="inlineStr">
        <is>
          <t>Pessoas / operação (Equipe Dev)</t>
        </is>
      </c>
      <c r="B68" s="8" t="inlineStr">
        <is>
          <t>3 desenvolvedores plenos com reajuste anual de 5%</t>
        </is>
      </c>
      <c r="C68" s="18">
        <f>O25</f>
        <v/>
      </c>
      <c r="D68" s="9" t="n">
        <v>336055.23</v>
      </c>
      <c r="E68" s="9" t="n">
        <v>352857.9915</v>
      </c>
      <c r="F68" s="9" t="n">
        <v>370500.891075</v>
      </c>
      <c r="G68" s="9" t="n">
        <v>389025.93562875</v>
      </c>
      <c r="H68" s="10">
        <f>SUM(C68:G68)</f>
        <v/>
      </c>
      <c r="I68" s="5" t="n"/>
      <c r="J68" s="5" t="n"/>
      <c r="K68" s="5" t="n"/>
      <c r="L68" s="5" t="n"/>
      <c r="M68" s="5" t="n"/>
      <c r="N68" s="5" t="n"/>
      <c r="O68" s="5" t="n"/>
    </row>
    <row r="69" ht="29" customHeight="1">
      <c r="A69" s="8" t="inlineStr">
        <is>
          <t>Cloud / infraestrutura</t>
        </is>
      </c>
      <c r="B69" s="8" t="inlineStr">
        <is>
          <t>Infraestrutura AWS (reajuste de 5% a.a.)</t>
        </is>
      </c>
      <c r="C69" s="18">
        <f>O26</f>
        <v/>
      </c>
      <c r="D69" s="9" t="n">
        <v>49215.6</v>
      </c>
      <c r="E69" s="9" t="n">
        <v>51676.38</v>
      </c>
      <c r="F69" s="9" t="n">
        <v>54260.199</v>
      </c>
      <c r="G69" s="9" t="n">
        <v>56973.20895</v>
      </c>
      <c r="H69" s="10">
        <f>SUM(C69:G69)</f>
        <v/>
      </c>
      <c r="I69" s="5" t="n"/>
      <c r="J69" s="5" t="n"/>
      <c r="K69" s="5" t="n"/>
      <c r="L69" s="5" t="n"/>
      <c r="M69" s="5" t="n"/>
      <c r="N69" s="5" t="n"/>
      <c r="O69" s="5" t="n"/>
    </row>
    <row r="70" ht="29" customHeight="1">
      <c r="A70" s="8" t="inlineStr">
        <is>
          <t>Licenças / assinaturas</t>
        </is>
      </c>
      <c r="B70" s="8" t="inlineStr">
        <is>
          <t>Claude API + Observabilidade SaaS + Domínio (reajuste 5% a.a.)</t>
        </is>
      </c>
      <c r="C70" s="18">
        <f>O27</f>
        <v/>
      </c>
      <c r="D70" s="9" t="n">
        <v>16282.35</v>
      </c>
      <c r="E70" s="9" t="n">
        <v>17096.4675</v>
      </c>
      <c r="F70" s="9" t="n">
        <v>17951.290875</v>
      </c>
      <c r="G70" s="9" t="n">
        <v>18848.85541875</v>
      </c>
      <c r="H70" s="10">
        <f>SUM(C70:G70)</f>
        <v/>
      </c>
      <c r="I70" s="5" t="n"/>
      <c r="J70" s="5" t="n"/>
      <c r="K70" s="5" t="n"/>
      <c r="L70" s="5" t="n"/>
      <c r="M70" s="5" t="n"/>
      <c r="N70" s="5" t="n"/>
      <c r="O70" s="5" t="n"/>
    </row>
    <row r="71" ht="29" customHeight="1">
      <c r="A71" s="8" t="inlineStr">
        <is>
          <t>Suporte / sustentação</t>
        </is>
      </c>
      <c r="B71" s="8" t="inlineStr">
        <is>
          <t>2 analistas de suporte pleno (reajuste de 5% a.a.)</t>
        </is>
      </c>
      <c r="C71" s="18">
        <f>O28</f>
        <v/>
      </c>
      <c r="D71" s="9" t="n">
        <v>90594</v>
      </c>
      <c r="E71" s="9" t="n">
        <v>95123.7</v>
      </c>
      <c r="F71" s="9" t="n">
        <v>99879.88499999999</v>
      </c>
      <c r="G71" s="9" t="n">
        <v>104873.87925</v>
      </c>
      <c r="H71" s="10">
        <f>SUM(C71:G71)</f>
        <v/>
      </c>
      <c r="I71" s="5" t="n"/>
      <c r="J71" s="5" t="n"/>
      <c r="K71" s="5" t="n"/>
      <c r="L71" s="5" t="n"/>
      <c r="M71" s="5" t="n"/>
      <c r="N71" s="5" t="n"/>
      <c r="O71" s="5" t="n"/>
    </row>
    <row r="72" ht="29" customHeight="1">
      <c r="A72" s="8" t="inlineStr">
        <is>
          <t>Marketing / aquisição</t>
        </is>
      </c>
      <c r="B72" s="8" t="inlineStr">
        <is>
          <t>Go-To-Market B2B recorrente (reajuste de 5% a.a.)</t>
        </is>
      </c>
      <c r="C72" s="18">
        <f>O29</f>
        <v/>
      </c>
      <c r="D72" s="9" t="n">
        <v>37800</v>
      </c>
      <c r="E72" s="9" t="n">
        <v>39690</v>
      </c>
      <c r="F72" s="9" t="n">
        <v>41674.5</v>
      </c>
      <c r="G72" s="9" t="n">
        <v>43758.225</v>
      </c>
      <c r="H72" s="10">
        <f>SUM(C72:G72)</f>
        <v/>
      </c>
      <c r="I72" s="5" t="n"/>
      <c r="J72" s="5" t="n"/>
      <c r="K72" s="5" t="n"/>
      <c r="L72" s="5" t="n"/>
      <c r="M72" s="5" t="n"/>
      <c r="N72" s="5" t="n"/>
      <c r="O72" s="5" t="n"/>
    </row>
    <row r="73" ht="29" customHeight="1">
      <c r="A73" s="8" t="inlineStr">
        <is>
          <t>Serviços de terceiros</t>
        </is>
      </c>
      <c r="B73" s="8" t="inlineStr">
        <is>
          <t>Contabilidade + Capacitação técnica (reajuste de 5% a.a.)</t>
        </is>
      </c>
      <c r="C73" s="18">
        <f>O30</f>
        <v/>
      </c>
      <c r="D73" s="9" t="n">
        <v>6010</v>
      </c>
      <c r="E73" s="9" t="n">
        <v>6310.5</v>
      </c>
      <c r="F73" s="9" t="n">
        <v>6626.025</v>
      </c>
      <c r="G73" s="9" t="n">
        <v>6957.32625</v>
      </c>
      <c r="H73" s="10">
        <f>SUM(C73:G73)</f>
        <v/>
      </c>
      <c r="I73" s="5" t="n"/>
      <c r="J73" s="5" t="n"/>
      <c r="K73" s="5" t="n"/>
      <c r="L73" s="5" t="n"/>
      <c r="M73" s="5" t="n"/>
      <c r="N73" s="5" t="n"/>
      <c r="O73" s="5" t="n"/>
    </row>
    <row r="74" ht="29" customHeight="1">
      <c r="A74" s="8" t="inlineStr">
        <is>
          <t>Outro OPEX</t>
        </is>
      </c>
      <c r="B74" s="8" t="inlineStr">
        <is>
          <t>Reserva de contingência operacional (reajuste de 5% a.a.)</t>
        </is>
      </c>
      <c r="C74" s="18">
        <f>O31</f>
        <v/>
      </c>
      <c r="D74" s="9" t="n">
        <v>2100</v>
      </c>
      <c r="E74" s="9" t="n">
        <v>2205</v>
      </c>
      <c r="F74" s="9" t="n">
        <v>2315.25</v>
      </c>
      <c r="G74" s="9" t="n">
        <v>2431.0125</v>
      </c>
      <c r="H74" s="10">
        <f>SUM(C74:G74)</f>
        <v/>
      </c>
      <c r="I74" s="5" t="n"/>
      <c r="J74" s="5" t="n"/>
      <c r="K74" s="5" t="n"/>
      <c r="L74" s="5" t="n"/>
      <c r="M74" s="5" t="n"/>
      <c r="N74" s="5" t="n"/>
      <c r="O74" s="5" t="n"/>
    </row>
    <row r="75" ht="14.5" customHeight="1">
      <c r="A75" s="29" t="inlineStr">
        <is>
          <t>TOTAL — OPEX</t>
        </is>
      </c>
      <c r="B75" s="36" t="n"/>
      <c r="C75" s="29">
        <f>SUM(C68:C74)</f>
        <v/>
      </c>
      <c r="D75" s="29">
        <f>SUM(D68:D74)</f>
        <v/>
      </c>
      <c r="E75" s="29">
        <f>SUM(E68:E74)</f>
        <v/>
      </c>
      <c r="F75" s="29">
        <f>SUM(F68:F74)</f>
        <v/>
      </c>
      <c r="G75" s="29">
        <f>SUM(G68:G74)</f>
        <v/>
      </c>
      <c r="H75" s="29">
        <f>SUM(C75:G75)</f>
        <v/>
      </c>
      <c r="I75" s="5" t="n"/>
      <c r="J75" s="5" t="n"/>
      <c r="K75" s="5" t="n"/>
      <c r="L75" s="5" t="n"/>
      <c r="M75" s="5" t="n"/>
      <c r="N75" s="5" t="n"/>
      <c r="O75" s="5" t="n"/>
    </row>
    <row r="76" ht="14.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 ht="14.5" customHeight="1">
      <c r="A77" s="30" t="inlineStr">
        <is>
          <t>4. ITENS SEM MOVIMENTAÇÃO DE CAIXA — NÃO CAIXA</t>
        </is>
      </c>
      <c r="I77" s="5" t="n"/>
      <c r="J77" s="5" t="n"/>
      <c r="K77" s="5" t="n"/>
      <c r="L77" s="5" t="n"/>
      <c r="M77" s="5" t="n"/>
      <c r="N77" s="5" t="n"/>
      <c r="O77" s="5" t="n"/>
    </row>
    <row r="78" ht="29" customHeight="1">
      <c r="A78" s="8" t="inlineStr">
        <is>
          <t>Depreciação</t>
        </is>
      </c>
      <c r="B78" s="8" t="inlineStr">
        <is>
          <t>Informativo (não reduz caixa)</t>
        </is>
      </c>
      <c r="C78" s="18">
        <f>O35</f>
        <v/>
      </c>
      <c r="D78" s="9" t="n">
        <v>0</v>
      </c>
      <c r="E78" s="9" t="n">
        <v>0</v>
      </c>
      <c r="F78" s="9" t="n">
        <v>0</v>
      </c>
      <c r="G78" s="9" t="n">
        <v>0</v>
      </c>
      <c r="H78" s="10">
        <f>SUM(C78:G78)</f>
        <v/>
      </c>
      <c r="I78" s="5" t="n"/>
      <c r="J78" s="5" t="n"/>
      <c r="K78" s="5" t="n"/>
      <c r="L78" s="5" t="n"/>
      <c r="M78" s="5" t="n"/>
      <c r="N78" s="5" t="n"/>
      <c r="O78" s="5" t="n"/>
    </row>
    <row r="79" ht="29" customHeight="1">
      <c r="A79" s="8" t="inlineStr">
        <is>
          <t>Amortização</t>
        </is>
      </c>
      <c r="B79" s="8" t="inlineStr">
        <is>
          <t>Informativo (não reduz caixa)</t>
        </is>
      </c>
      <c r="C79" s="18">
        <f>O36</f>
        <v/>
      </c>
      <c r="D79" s="9" t="n">
        <v>0</v>
      </c>
      <c r="E79" s="9" t="n">
        <v>0</v>
      </c>
      <c r="F79" s="9" t="n">
        <v>0</v>
      </c>
      <c r="G79" s="9" t="n">
        <v>0</v>
      </c>
      <c r="H79" s="10">
        <f>SUM(C79:G79)</f>
        <v/>
      </c>
      <c r="I79" s="5" t="n"/>
      <c r="J79" s="5" t="n"/>
      <c r="K79" s="5" t="n"/>
      <c r="L79" s="5" t="n"/>
      <c r="M79" s="5" t="n"/>
      <c r="N79" s="5" t="n"/>
      <c r="O79" s="5" t="n"/>
    </row>
    <row r="80" ht="29" customHeight="1">
      <c r="A80" s="8" t="inlineStr">
        <is>
          <t>Outro item não caixa</t>
        </is>
      </c>
      <c r="B80" s="8" t="inlineStr">
        <is>
          <t>Não aplicável</t>
        </is>
      </c>
      <c r="C80" s="18">
        <f>O37</f>
        <v/>
      </c>
      <c r="D80" s="9" t="n">
        <v>0</v>
      </c>
      <c r="E80" s="9" t="n">
        <v>0</v>
      </c>
      <c r="F80" s="9" t="n">
        <v>0</v>
      </c>
      <c r="G80" s="9" t="n">
        <v>0</v>
      </c>
      <c r="H80" s="10">
        <f>SUM(C80:G80)</f>
        <v/>
      </c>
      <c r="I80" s="5" t="n"/>
      <c r="J80" s="5" t="n"/>
      <c r="K80" s="5" t="n"/>
      <c r="L80" s="5" t="n"/>
      <c r="M80" s="5" t="n"/>
      <c r="N80" s="5" t="n"/>
      <c r="O80" s="5" t="n"/>
    </row>
    <row r="81" ht="14.5" customHeight="1">
      <c r="A81" s="31" t="inlineStr">
        <is>
          <t>TOTAL — ITENS NÃO CAIXA (INFORMATIVO)</t>
        </is>
      </c>
      <c r="B81" s="36" t="n"/>
      <c r="C81" s="31">
        <f>SUM(C78:C80)</f>
        <v/>
      </c>
      <c r="D81" s="31">
        <f>SUM(D78:D80)</f>
        <v/>
      </c>
      <c r="E81" s="31">
        <f>SUM(E78:E80)</f>
        <v/>
      </c>
      <c r="F81" s="31">
        <f>SUM(F78:F80)</f>
        <v/>
      </c>
      <c r="G81" s="31">
        <f>SUM(G78:G80)</f>
        <v/>
      </c>
      <c r="H81" s="31">
        <f>SUM(C81:G81)</f>
        <v/>
      </c>
      <c r="I81" s="5" t="n"/>
      <c r="J81" s="5" t="n"/>
      <c r="K81" s="5" t="n"/>
      <c r="L81" s="5" t="n"/>
      <c r="M81" s="5" t="n"/>
      <c r="N81" s="5" t="n"/>
      <c r="O81" s="5" t="n"/>
    </row>
    <row r="82" ht="14.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 ht="14.5" customHeight="1">
      <c r="A83" s="32" t="inlineStr">
        <is>
          <t>FLUXO LÍQUIDO DO ANO</t>
        </is>
      </c>
      <c r="B83" s="37" t="n"/>
      <c r="C83" s="32">
        <f>C57-C65-C75</f>
        <v/>
      </c>
      <c r="D83" s="32">
        <f>D57-D65-D75</f>
        <v/>
      </c>
      <c r="E83" s="32">
        <f>E57-E65-E75</f>
        <v/>
      </c>
      <c r="F83" s="32">
        <f>F57-F65-F75</f>
        <v/>
      </c>
      <c r="G83" s="32">
        <f>G57-G65-G75</f>
        <v/>
      </c>
      <c r="H83" s="32">
        <f>SUM(C83:G83)</f>
        <v/>
      </c>
      <c r="I83" s="5" t="n"/>
      <c r="J83" s="5" t="n"/>
      <c r="K83" s="5" t="n"/>
      <c r="L83" s="5" t="n"/>
      <c r="M83" s="5" t="n"/>
      <c r="N83" s="5" t="n"/>
      <c r="O83" s="5" t="n"/>
    </row>
    <row r="84" ht="14.5" customHeight="1">
      <c r="A84" s="33" t="inlineStr">
        <is>
          <t>FLUXO ACUMULADO</t>
        </is>
      </c>
      <c r="B84" s="38" t="n"/>
      <c r="C84" s="33">
        <f>C83</f>
        <v/>
      </c>
      <c r="D84" s="33">
        <f>C84+D83</f>
        <v/>
      </c>
      <c r="E84" s="33">
        <f>D84+E83</f>
        <v/>
      </c>
      <c r="F84" s="33">
        <f>E84+F83</f>
        <v/>
      </c>
      <c r="G84" s="33">
        <f>F84+G83</f>
        <v/>
      </c>
      <c r="H84" s="33">
        <f>G84</f>
        <v/>
      </c>
      <c r="I84" s="5" t="n"/>
      <c r="J84" s="5" t="n"/>
      <c r="K84" s="5" t="n"/>
      <c r="L84" s="5" t="n"/>
      <c r="M84" s="5" t="n"/>
      <c r="N84" s="5" t="n"/>
      <c r="O84" s="5" t="n"/>
    </row>
    <row r="85" ht="14.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 ht="14.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 ht="14.5" customHeight="1">
      <c r="A87" s="35" t="inlineStr">
        <is>
          <t>VALIDAÇÃO FINAL: (1) Total CAPEX deve reconciliar com a aba de Investimentos; (2) Entradas devem reconciliar com a Projeção de Receitas; (3) custos recorrentes devem continuar nos anos seguintes quando aplicável; (4) itens Não Caixa não entram no Fluxo Líquido; (5) revise os itens EXEMPLO antes de entregar o Business Case.</t>
        </is>
      </c>
      <c r="I87" s="5" t="n"/>
      <c r="J87" s="5" t="n"/>
      <c r="K87" s="5" t="n"/>
      <c r="L87" s="5" t="n"/>
      <c r="M87" s="5" t="n"/>
      <c r="N87" s="5" t="n"/>
      <c r="O87" s="5" t="n"/>
    </row>
    <row r="88" ht="14.5" customHeight="1">
      <c r="I88" s="5" t="n"/>
      <c r="J88" s="5" t="n"/>
      <c r="K88" s="5" t="n"/>
      <c r="L88" s="5" t="n"/>
      <c r="M88" s="5" t="n"/>
      <c r="N88" s="5" t="n"/>
      <c r="O88" s="5" t="n"/>
    </row>
    <row r="89" ht="14.5" customHeight="1">
      <c r="I89" s="5" t="n"/>
      <c r="J89" s="5" t="n"/>
      <c r="K89" s="5" t="n"/>
      <c r="L89" s="5" t="n"/>
      <c r="M89" s="5" t="n"/>
      <c r="N89" s="5" t="n"/>
      <c r="O89" s="5" t="n"/>
    </row>
  </sheetData>
  <mergeCells count="27">
    <mergeCell ref="A67:H67"/>
    <mergeCell ref="A7:O7"/>
    <mergeCell ref="A77:H77"/>
    <mergeCell ref="A16:O16"/>
    <mergeCell ref="A59:H59"/>
    <mergeCell ref="A2:O2"/>
    <mergeCell ref="A65:B65"/>
    <mergeCell ref="A41:B41"/>
    <mergeCell ref="A87:H89"/>
    <mergeCell ref="A75:B75"/>
    <mergeCell ref="A84:B84"/>
    <mergeCell ref="A43:F43"/>
    <mergeCell ref="A50:H50"/>
    <mergeCell ref="A57:B57"/>
    <mergeCell ref="A32:B32"/>
    <mergeCell ref="A14:B14"/>
    <mergeCell ref="A34:O34"/>
    <mergeCell ref="A9:O9"/>
    <mergeCell ref="A22:B22"/>
    <mergeCell ref="A38:B38"/>
    <mergeCell ref="D4:O5"/>
    <mergeCell ref="A24:O24"/>
    <mergeCell ref="A81:B81"/>
    <mergeCell ref="A52:H52"/>
    <mergeCell ref="A1:O1"/>
    <mergeCell ref="A40:B40"/>
    <mergeCell ref="A83:B83"/>
  </mergeCells>
  <conditionalFormatting sqref="C84:G84">
    <cfRule type="cellIs" priority="3" operator="lessThan" dxfId="1">
      <formula>0</formula>
    </cfRule>
    <cfRule type="cellIs" priority="4" operator="greaterThanOrEqual" dxfId="0">
      <formula>0</formula>
    </cfRule>
  </conditionalFormatting>
  <conditionalFormatting sqref="C41:N41">
    <cfRule type="cellIs" priority="1" operator="lessThan" dxfId="1">
      <formula>0</formula>
    </cfRule>
    <cfRule type="cellIs" priority="2" operator="greaterThanOrEqual" dxfId="0">
      <formula>0</formula>
    </cfRule>
  </conditionalFormatting>
  <dataValidations count="1">
    <dataValidation sqref="B5" showDropDown="0" showInputMessage="0" showErrorMessage="0" allowBlank="0" type="list">
      <formula1>"1,2,3,4,5,6,7,8,9,10,11,12"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2026-09-15T22:56:10Z</dcterms:created>
  <dcterms:modified xsi:type="dcterms:W3CDTF">2026-09-15T22:56:10Z</dcterms:modified>
  <cp:lastModifiedBy>Guilherme  Gonçalves Silva Santos</cp:lastModifiedBy>
</cp:coreProperties>
</file>