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GuilhermeGonçalvesSi\Downloads\"/>
    </mc:Choice>
  </mc:AlternateContent>
  <xr:revisionPtr revIDLastSave="0" documentId="8_{D16CC74E-CC6B-49D2-80A1-9723D8498C78}" xr6:coauthVersionLast="47" xr6:coauthVersionMax="47" xr10:uidLastSave="{00000000-0000-0000-0000-000000000000}"/>
  <bookViews>
    <workbookView xWindow="-28920" yWindow="630" windowWidth="29040" windowHeight="15720" firstSheet="3" activeTab="3" xr2:uid="{00000000-000D-0000-FFFF-FFFF00000000}"/>
  </bookViews>
  <sheets>
    <sheet name="Resumo Executivo" sheetId="1" r:id="rId1"/>
    <sheet name="Detalhes do Projeto" sheetId="2" r:id="rId2"/>
    <sheet name="Resumo Investimentos" sheetId="3" r:id="rId3"/>
    <sheet name="Projeção Receitas" sheetId="4" r:id="rId4"/>
    <sheet name="Fluxo de Caixa" sheetId="5" r:id="rId5"/>
    <sheet name="Indicadores" sheetId="6" r:id="rId6"/>
    <sheet name="Análise de Riscos" sheetId="7" r:id="rId7"/>
    <sheet name="Cenários" sheetId="8" r:id="rId8"/>
    <sheet name="Conclusão" sheetId="9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D12" i="4"/>
  <c r="D15" i="4"/>
  <c r="D16" i="4"/>
  <c r="D17" i="4"/>
  <c r="D8" i="4"/>
  <c r="C10" i="4"/>
  <c r="F16" i="4"/>
  <c r="G16" i="4"/>
  <c r="E16" i="4"/>
  <c r="C16" i="4"/>
  <c r="D6" i="4"/>
  <c r="C17" i="4"/>
  <c r="C12" i="4"/>
  <c r="C15" i="4" s="1"/>
  <c r="F20" i="7"/>
  <c r="G20" i="7" s="1"/>
  <c r="F19" i="7"/>
  <c r="G19" i="7" s="1"/>
  <c r="F18" i="7"/>
  <c r="G18" i="7" s="1"/>
  <c r="F17" i="7"/>
  <c r="G17" i="7" s="1"/>
  <c r="G16" i="7"/>
  <c r="F16" i="7"/>
  <c r="G15" i="7"/>
  <c r="F15" i="7"/>
  <c r="F14" i="7"/>
  <c r="G14" i="7" s="1"/>
  <c r="F13" i="7"/>
  <c r="G13" i="7" s="1"/>
  <c r="G12" i="7"/>
  <c r="F12" i="7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6"/>
  <c r="G11" i="5"/>
  <c r="F11" i="5"/>
  <c r="E11" i="5"/>
  <c r="D11" i="5"/>
  <c r="C11" i="5"/>
  <c r="B11" i="5"/>
  <c r="E46" i="3"/>
  <c r="D38" i="3"/>
  <c r="D37" i="3"/>
  <c r="D36" i="3"/>
  <c r="G28" i="3"/>
  <c r="I27" i="3"/>
  <c r="J27" i="3" s="1"/>
  <c r="K27" i="3" s="1"/>
  <c r="L27" i="3" s="1"/>
  <c r="H25" i="3"/>
  <c r="I25" i="3" s="1"/>
  <c r="J25" i="3" s="1"/>
  <c r="K25" i="3" s="1"/>
  <c r="L25" i="3" s="1"/>
  <c r="H24" i="3"/>
  <c r="I24" i="3" s="1"/>
  <c r="J24" i="3" s="1"/>
  <c r="K24" i="3" s="1"/>
  <c r="L24" i="3" s="1"/>
  <c r="I23" i="3"/>
  <c r="J23" i="3" s="1"/>
  <c r="K23" i="3" s="1"/>
  <c r="L23" i="3" s="1"/>
  <c r="H22" i="3"/>
  <c r="H20" i="3"/>
  <c r="I20" i="3" s="1"/>
  <c r="J20" i="3" s="1"/>
  <c r="K20" i="3" s="1"/>
  <c r="L20" i="3" s="1"/>
  <c r="H19" i="3"/>
  <c r="I19" i="3" s="1"/>
  <c r="J19" i="3" s="1"/>
  <c r="K19" i="3" s="1"/>
  <c r="L19" i="3" s="1"/>
  <c r="H18" i="3"/>
  <c r="I18" i="3" s="1"/>
  <c r="J18" i="3" s="1"/>
  <c r="K18" i="3" s="1"/>
  <c r="L18" i="3" s="1"/>
  <c r="J17" i="3"/>
  <c r="J16" i="3"/>
  <c r="K16" i="3" s="1"/>
  <c r="L16" i="3" s="1"/>
  <c r="H15" i="3"/>
  <c r="C11" i="3" s="1"/>
  <c r="B11" i="3"/>
  <c r="B7" i="5" s="1"/>
  <c r="G10" i="3"/>
  <c r="O6" i="1" s="1"/>
  <c r="F10" i="3"/>
  <c r="F6" i="3" s="1"/>
  <c r="E10" i="3"/>
  <c r="E10" i="5" s="1"/>
  <c r="D10" i="3"/>
  <c r="D10" i="5" s="1"/>
  <c r="C10" i="3"/>
  <c r="C10" i="5" s="1"/>
  <c r="B10" i="3"/>
  <c r="B6" i="3" s="1"/>
  <c r="G9" i="3"/>
  <c r="F9" i="3"/>
  <c r="E9" i="3"/>
  <c r="D9" i="3"/>
  <c r="C9" i="3"/>
  <c r="B9" i="3"/>
  <c r="B8" i="3"/>
  <c r="C6" i="3"/>
  <c r="C20" i="4" l="1"/>
  <c r="H9" i="3"/>
  <c r="F10" i="5"/>
  <c r="C7" i="5"/>
  <c r="C7" i="3"/>
  <c r="K5" i="1"/>
  <c r="B8" i="5"/>
  <c r="B9" i="5" s="1"/>
  <c r="C21" i="8"/>
  <c r="C6" i="5"/>
  <c r="C23" i="8"/>
  <c r="C25" i="8"/>
  <c r="K4" i="1"/>
  <c r="B25" i="8"/>
  <c r="B26" i="8" s="1"/>
  <c r="D6" i="3"/>
  <c r="H6" i="3" s="1"/>
  <c r="G10" i="5"/>
  <c r="I15" i="3"/>
  <c r="G6" i="3"/>
  <c r="B7" i="3"/>
  <c r="I22" i="3"/>
  <c r="B23" i="8"/>
  <c r="B24" i="8" s="1"/>
  <c r="K6" i="1"/>
  <c r="H28" i="3"/>
  <c r="L6" i="1"/>
  <c r="M6" i="1"/>
  <c r="N6" i="1"/>
  <c r="B10" i="5"/>
  <c r="H10" i="3"/>
  <c r="B21" i="8"/>
  <c r="B22" i="8" s="1"/>
  <c r="E6" i="3"/>
  <c r="C8" i="3"/>
  <c r="B12" i="5" l="1"/>
  <c r="B13" i="5"/>
  <c r="C8" i="5"/>
  <c r="C9" i="5" s="1"/>
  <c r="C12" i="5" s="1"/>
  <c r="C22" i="8"/>
  <c r="C26" i="8"/>
  <c r="C14" i="8"/>
  <c r="D14" i="8"/>
  <c r="B14" i="8"/>
  <c r="A23" i="1"/>
  <c r="C24" i="8"/>
  <c r="J22" i="3"/>
  <c r="D8" i="3"/>
  <c r="D11" i="3"/>
  <c r="I28" i="3"/>
  <c r="J15" i="3"/>
  <c r="K7" i="1" l="1"/>
  <c r="D7" i="3"/>
  <c r="D7" i="5"/>
  <c r="L5" i="1"/>
  <c r="K22" i="3"/>
  <c r="C13" i="5"/>
  <c r="E8" i="3"/>
  <c r="J28" i="3"/>
  <c r="K15" i="3"/>
  <c r="E11" i="3"/>
  <c r="K28" i="3" l="1"/>
  <c r="F8" i="3"/>
  <c r="L15" i="3"/>
  <c r="F11" i="3"/>
  <c r="L22" i="3"/>
  <c r="E7" i="3"/>
  <c r="E7" i="5"/>
  <c r="M5" i="1"/>
  <c r="F7" i="3" l="1"/>
  <c r="N5" i="1"/>
  <c r="F7" i="5"/>
  <c r="L28" i="3"/>
  <c r="G11" i="3"/>
  <c r="G8" i="3"/>
  <c r="H8" i="3" s="1"/>
  <c r="G7" i="3" l="1"/>
  <c r="O5" i="1"/>
  <c r="G7" i="5"/>
  <c r="H11" i="3"/>
  <c r="H7" i="3"/>
  <c r="D13" i="8" l="1"/>
  <c r="B13" i="8"/>
  <c r="C13" i="8"/>
  <c r="C23" i="1"/>
  <c r="E6" i="4" l="1"/>
  <c r="D20" i="4"/>
  <c r="D25" i="8" l="1"/>
  <c r="D26" i="8" s="1"/>
  <c r="D21" i="8"/>
  <c r="D22" i="8" s="1"/>
  <c r="D23" i="8"/>
  <c r="D24" i="8" s="1"/>
  <c r="L4" i="1"/>
  <c r="D6" i="5"/>
  <c r="D8" i="5" l="1"/>
  <c r="D9" i="5" s="1"/>
  <c r="D12" i="5"/>
  <c r="L7" i="1" l="1"/>
  <c r="D13" i="5"/>
  <c r="D17" i="8"/>
  <c r="F17" i="4"/>
  <c r="F6" i="4"/>
  <c r="F10" i="4" s="1"/>
  <c r="F12" i="4" s="1"/>
  <c r="F15" i="4" s="1"/>
  <c r="F20" i="4" s="1"/>
  <c r="G6" i="4"/>
  <c r="E10" i="4"/>
  <c r="E12" i="4"/>
  <c r="E15" i="4"/>
  <c r="E20" i="4"/>
  <c r="E6" i="5"/>
  <c r="E8" i="5"/>
  <c r="E9" i="5"/>
  <c r="E17" i="4"/>
  <c r="E8" i="4"/>
  <c r="F8" i="4"/>
  <c r="E12" i="5" l="1"/>
  <c r="E23" i="8"/>
  <c r="E24" i="8" s="1"/>
  <c r="E21" i="8"/>
  <c r="E22" i="8" s="1"/>
  <c r="E25" i="8"/>
  <c r="E26" i="8" s="1"/>
  <c r="M4" i="1"/>
  <c r="N4" i="1"/>
  <c r="F25" i="8"/>
  <c r="F21" i="8"/>
  <c r="F23" i="8"/>
  <c r="F6" i="5"/>
  <c r="F8" i="5" l="1"/>
  <c r="F9" i="5" s="1"/>
  <c r="F12" i="5" s="1"/>
  <c r="N7" i="1" s="1"/>
  <c r="F26" i="8"/>
  <c r="F22" i="8"/>
  <c r="B17" i="8"/>
  <c r="F24" i="8"/>
  <c r="C17" i="8"/>
  <c r="M7" i="1"/>
  <c r="E13" i="5"/>
  <c r="B16" i="5" l="1"/>
  <c r="F13" i="5"/>
  <c r="B10" i="6" l="1"/>
  <c r="E16" i="5"/>
  <c r="B9" i="9" l="1"/>
  <c r="G26" i="1"/>
  <c r="G10" i="4"/>
  <c r="G12" i="4"/>
  <c r="G15" i="4"/>
  <c r="G20" i="4"/>
  <c r="G6" i="5"/>
  <c r="G8" i="5" s="1"/>
  <c r="G9" i="5" s="1"/>
  <c r="G12" i="5"/>
  <c r="B9" i="6"/>
  <c r="E26" i="1" s="1"/>
  <c r="B8" i="9"/>
  <c r="G8" i="4"/>
  <c r="G17" i="4"/>
  <c r="G13" i="5" l="1"/>
  <c r="O7" i="1"/>
  <c r="B6" i="6" a="1"/>
  <c r="B6" i="6" s="1"/>
  <c r="B7" i="6"/>
  <c r="G25" i="8"/>
  <c r="G26" i="8" s="1"/>
  <c r="G21" i="8"/>
  <c r="G22" i="8" s="1"/>
  <c r="G23" i="8"/>
  <c r="G24" i="8" s="1"/>
  <c r="G21" i="4"/>
  <c r="C15" i="8"/>
  <c r="B15" i="8"/>
  <c r="D15" i="8"/>
  <c r="O4" i="1"/>
  <c r="B8" i="6"/>
  <c r="C26" i="1" l="1"/>
  <c r="B7" i="9"/>
  <c r="D12" i="8"/>
  <c r="D16" i="8" s="1"/>
  <c r="B12" i="8"/>
  <c r="B16" i="8" s="1"/>
  <c r="E23" i="1"/>
  <c r="C12" i="8"/>
  <c r="C16" i="8" s="1"/>
  <c r="A26" i="1"/>
  <c r="B6" i="9"/>
  <c r="G23" i="1"/>
  <c r="B5" i="9"/>
  <c r="B14" i="6"/>
  <c r="E5" i="9" s="1"/>
</calcChain>
</file>

<file path=xl/sharedStrings.xml><?xml version="1.0" encoding="utf-8"?>
<sst xmlns="http://schemas.openxmlformats.org/spreadsheetml/2006/main" count="511" uniqueCount="351">
  <si>
    <t>Template de Business Case</t>
  </si>
  <si>
    <t>Resumo executivo e visão consolidada da viabilidade</t>
  </si>
  <si>
    <t>Métrica</t>
  </si>
  <si>
    <t>Ano 1</t>
  </si>
  <si>
    <t>Ano 2</t>
  </si>
  <si>
    <t>Ano 3</t>
  </si>
  <si>
    <t>Ano 4</t>
  </si>
  <si>
    <t>Ano 5</t>
  </si>
  <si>
    <t>Resumo Executivo</t>
  </si>
  <si>
    <t>Receita</t>
  </si>
  <si>
    <t>Nome do projeto</t>
  </si>
  <si>
    <t>BusFlow</t>
  </si>
  <si>
    <t>OPEX</t>
  </si>
  <si>
    <t>CAPEX</t>
  </si>
  <si>
    <t>Breve descritivo</t>
  </si>
  <si>
    <t>Automação Inteligente de Despacho de Frota de Ônibus via Machine Learning e Dados Climáticos</t>
  </si>
  <si>
    <t>Fluxo Líquido</t>
  </si>
  <si>
    <t>Objetivo principal do produto / serviço</t>
  </si>
  <si>
    <t xml:space="preserve">Otimizar a eficiência operacional do transporte público rodoviário e reduzir o tempo de espera dos passageiros em períodos de intempéries climáticas na cidade de São Paulo, por meio de um modelo preditivo de suporte à tomada de decisão para o CCO. </t>
  </si>
  <si>
    <t>Contexto do mercado e justificativa</t>
  </si>
  <si>
    <t xml:space="preserve">Atende passageiros e operadores de ônibus de São Paulo, diante dos atuais gargalos de mobilidade e impactos climáticos.
Agir agora permite otimizar a operação e reduzir atrasos por meio de decisões mais rápidas e inteligentes. </t>
  </si>
  <si>
    <t>Principais benefícios esperados</t>
  </si>
  <si>
    <t>Ex.: receita incremental, redução de custos, ganho de produtividade e prazo para captura do benefício.</t>
  </si>
  <si>
    <t>Visão Financeira Consolidada</t>
  </si>
  <si>
    <t>Investimento total (CAPEX)</t>
  </si>
  <si>
    <t>OPEX total - 5 anos</t>
  </si>
  <si>
    <t>Receita total - 5 anos</t>
  </si>
  <si>
    <t>VPL</t>
  </si>
  <si>
    <t>TIR</t>
  </si>
  <si>
    <t>ROI</t>
  </si>
  <si>
    <t>MOIC</t>
  </si>
  <si>
    <t>Payback</t>
  </si>
  <si>
    <t>Legenda: amarelo/azul = entrada editável | verde = link entre abas | preto = fórmula/cálculo.</t>
  </si>
  <si>
    <t>Detalhes do Projeto</t>
  </si>
  <si>
    <t>Escopo, público, modelo de negócio, premissas e benchmarks</t>
  </si>
  <si>
    <t>Escopo (WBS)</t>
  </si>
  <si>
    <t>WBS</t>
  </si>
  <si>
    <t>Pacote de trabalho</t>
  </si>
  <si>
    <t>Entrega / Feature</t>
  </si>
  <si>
    <t>Descrição</t>
  </si>
  <si>
    <t>Responsável</t>
  </si>
  <si>
    <t>Início</t>
  </si>
  <si>
    <t>Fim</t>
  </si>
  <si>
    <t>Dependência</t>
  </si>
  <si>
    <t>Custo estimado (R$)</t>
  </si>
  <si>
    <t>Observações</t>
  </si>
  <si>
    <t>1.1</t>
  </si>
  <si>
    <t>Levantamento</t>
  </si>
  <si>
    <t>Requisitos</t>
  </si>
  <si>
    <t>Levantamento dos requisitos e necessidades da operação.</t>
  </si>
  <si>
    <t>Todos da equipe</t>
  </si>
  <si>
    <t>-</t>
  </si>
  <si>
    <t>Levantamento inicial e especificações (2% do esforço da equipe dev)</t>
  </si>
  <si>
    <t>1.2</t>
  </si>
  <si>
    <t>Dados</t>
  </si>
  <si>
    <t>Coleta e tratamento</t>
  </si>
  <si>
    <t>Integração e preparação dos dados de transporte e clima.</t>
  </si>
  <si>
    <t>Backend / Dados</t>
  </si>
  <si>
    <t>Coleta, pipeline e tratamento de dados de transporte e clima (12% do esforço)</t>
  </si>
  <si>
    <t>1.3</t>
  </si>
  <si>
    <t>Banco de Dados</t>
  </si>
  <si>
    <t>Modelagem</t>
  </si>
  <si>
    <t>Modelagem e implementação do banco de dados.</t>
  </si>
  <si>
    <t>Backend</t>
  </si>
  <si>
    <t>Modelagem relacional e estruturação do banco de dados (8% do esforço)</t>
  </si>
  <si>
    <t>1.4</t>
  </si>
  <si>
    <t>Machine Learning</t>
  </si>
  <si>
    <t>Modelo preditivo</t>
  </si>
  <si>
    <t>Desenvolvimento do modelo para previsão de demanda.</t>
  </si>
  <si>
    <t>Dados / ML</t>
  </si>
  <si>
    <t>Engenharia de features, treino e validação do modelo preditivo de ML (22% do esforço)</t>
  </si>
  <si>
    <t>1.5</t>
  </si>
  <si>
    <t>API</t>
  </si>
  <si>
    <t>Desenvolvimento da API para disponibilizar previsões e alertas.</t>
  </si>
  <si>
    <t>1.3, 1.4</t>
  </si>
  <si>
    <t>Desenvolvimento das APIs RESTful de integração e despacho (18% do esforço)</t>
  </si>
  <si>
    <t>1.6</t>
  </si>
  <si>
    <t>Alertas</t>
  </si>
  <si>
    <t>Sistema de alertas</t>
  </si>
  <si>
    <t>Identificação de possíveis gargalos e geração de alertas operacionais.</t>
  </si>
  <si>
    <t>Backend / ML</t>
  </si>
  <si>
    <t>1.4, 1.5</t>
  </si>
  <si>
    <t>Motor de regras e sistema de alertas para o CCO (10% do esforço)</t>
  </si>
  <si>
    <t>1.7</t>
  </si>
  <si>
    <t>Dashboard</t>
  </si>
  <si>
    <t>Monitoramento</t>
  </si>
  <si>
    <t>Desenvolvimento de dashboard para visualização dos indicadores.</t>
  </si>
  <si>
    <t>Frontend / Dados</t>
  </si>
  <si>
    <t>Dashboard analítico e interface visual operacional (12% do esforço)</t>
  </si>
  <si>
    <t>1.8</t>
  </si>
  <si>
    <t>Integração</t>
  </si>
  <si>
    <t>Integração dos módulos</t>
  </si>
  <si>
    <t>Integração entre banco, ML, API e dashboard.</t>
  </si>
  <si>
    <t>1.5, 1.6, 1.7</t>
  </si>
  <si>
    <t>Integração ponta a ponta de todos os módulos (6% do esforço)</t>
  </si>
  <si>
    <t>1.9</t>
  </si>
  <si>
    <t>Testes</t>
  </si>
  <si>
    <t>Testes e validação</t>
  </si>
  <si>
    <t>Testes funcionais, integração e avaliação das previsões.</t>
  </si>
  <si>
    <t>Testes funcionais, testes de carga e homologação técnica (5% do esforço)</t>
  </si>
  <si>
    <t>1.10</t>
  </si>
  <si>
    <t>Implantação</t>
  </si>
  <si>
    <t>MVP BusFlow</t>
  </si>
  <si>
    <t>Disponibilização do protótipo funcional e documentação.</t>
  </si>
  <si>
    <t>Deploy do MVP em ambiente de produção e documentação final (5% do esforço)</t>
  </si>
  <si>
    <t>1.11</t>
  </si>
  <si>
    <t>Sustentação</t>
  </si>
  <si>
    <t>Correção de Erros</t>
  </si>
  <si>
    <t>Correção de erros encontrados em produção.</t>
  </si>
  <si>
    <t>Entrega final do projeto</t>
  </si>
  <si>
    <t>1.12</t>
  </si>
  <si>
    <t>Suporte</t>
  </si>
  <si>
    <t>Atendimento/ Acompanhamento</t>
  </si>
  <si>
    <t>Atendimento para auxilio da utilização da aplicação para o cliente.</t>
  </si>
  <si>
    <t>Público-alvo e Mercado Potencial</t>
  </si>
  <si>
    <t>Segmento</t>
  </si>
  <si>
    <t>Tipo</t>
  </si>
  <si>
    <t>Base potencial (clientes)</t>
  </si>
  <si>
    <t>% Endereçável</t>
  </si>
  <si>
    <t>TAM (clientes)</t>
  </si>
  <si>
    <t>SAM (clientes)</t>
  </si>
  <si>
    <t>Empresas/concessionárias de transporte coletivo</t>
  </si>
  <si>
    <t>Principal</t>
  </si>
  <si>
    <t>Órgãos públicos de mobilidade urbana</t>
  </si>
  <si>
    <t>Secundário</t>
  </si>
  <si>
    <t>Operadores de transporte municipal</t>
  </si>
  <si>
    <t>Empresas de tecnologia para mobilidade</t>
  </si>
  <si>
    <t>Modelo de Negócio</t>
  </si>
  <si>
    <t>Modelo principal</t>
  </si>
  <si>
    <t>B2B</t>
  </si>
  <si>
    <t>SaaS por assinatura, cobrando mensalmente pelo uso da plataforma de previsão, monitoramento e geração de alertas operacionais.</t>
  </si>
  <si>
    <t>O valor pode variar conforme o número de veículos, linhas monitoradas e funcionalidades contratadas.</t>
  </si>
  <si>
    <t>Premissas Utilizadas</t>
  </si>
  <si>
    <t>Premissa</t>
  </si>
  <si>
    <t>Valor</t>
  </si>
  <si>
    <t>Unidade</t>
  </si>
  <si>
    <t>Fonte / justificativa</t>
  </si>
  <si>
    <t>Sensibilidade</t>
  </si>
  <si>
    <t>TMA / taxa de desconto</t>
  </si>
  <si>
    <t>% a.a.</t>
  </si>
  <si>
    <t>Definir conforme custo de capital / política da empresa</t>
  </si>
  <si>
    <t>Alta</t>
  </si>
  <si>
    <t>Alíquota de impostos sobre resultado</t>
  </si>
  <si>
    <t>%</t>
  </si>
  <si>
    <t>Preencher conforme contexto do projeto</t>
  </si>
  <si>
    <t>Média</t>
  </si>
  <si>
    <t>Inflação / reajuste de custos</t>
  </si>
  <si>
    <t>Premissa macroeconômica</t>
  </si>
  <si>
    <t>Horizonte de análise</t>
  </si>
  <si>
    <t>anos</t>
  </si>
  <si>
    <t>Padrão do exercício</t>
  </si>
  <si>
    <t>Baixa</t>
  </si>
  <si>
    <t>Reserva de contingência</t>
  </si>
  <si>
    <t>% CAPEX</t>
  </si>
  <si>
    <t>Conforme maturidade do escopo</t>
  </si>
  <si>
    <t>Benchmarks e Referências</t>
  </si>
  <si>
    <t>Benchmark / Concorrente</t>
  </si>
  <si>
    <t>Proposta de valor</t>
  </si>
  <si>
    <t>Preço / Modelo</t>
  </si>
  <si>
    <t>Principais diferenciais</t>
  </si>
  <si>
    <t>Lacunas percebidas</t>
  </si>
  <si>
    <t>Fonte / URL</t>
  </si>
  <si>
    <t>Optibus</t>
  </si>
  <si>
    <t>Plataforma completa para planejamento, escalonamento e operação de transporte público. Utiliza otimização, ML e IA para adaptar a operação à demanda.</t>
  </si>
  <si>
    <t>Comercial / sob consulta</t>
  </si>
  <si>
    <t>IA, ML, otimização de frota e motoristas, ajustes em tempo real e plataforma Cloud.</t>
  </si>
  <si>
    <t>Solução muito ampla; não é focada especificamente em correlacionar dados climáticos + demanda para recomendar despacho.</t>
  </si>
  <si>
    <t>https://optibus.com/product/?new_lang=em</t>
  </si>
  <si>
    <t>INIT – MOBILE-ITCS</t>
  </si>
  <si>
    <t>Controle operacional em tempo real, monitoramento da frota, despacho, gestão de incidentes e informação ao passageiro.</t>
  </si>
  <si>
    <t>Forte integração com CCO, AVL, controle de frota, incidentes e informações em tempo real. Também possui IA para previsão de chegada.</t>
  </si>
  <si>
    <t>Foco maior em monitoramento e controle em tempo real; a proposta do BusFlow enfatiza previsão de demanda influenciada por clima para antecipar decisões de despacho.</t>
  </si>
  <si>
    <t>https://www.initse.com/enus/solutions/operations-control-real-time-passenger-information/?</t>
  </si>
  <si>
    <t>SISCOG</t>
  </si>
  <si>
    <t>Otimização de recursos e apoio à decisão para transporte público, incluindo planejamento, veículos e despacho em tempo real.</t>
  </si>
  <si>
    <t>Combinação de IA + Pesquisa Operacional, otimização de recursos, cenários "what-if" e replanejamento.</t>
  </si>
  <si>
    <t>Forte atuação em ferrovias e metrôs; solução mais voltada à otimização abrangente de recursos do que a um MVP específico de previsão de demanda de ônibus baseada em clima.</t>
  </si>
  <si>
    <t>https://www.siscog.com/en-us/</t>
  </si>
  <si>
    <t>Resumo dos Investimentos</t>
  </si>
  <si>
    <t>CAPEX, OPEX e evolução dos custos ao longo do horizonte</t>
  </si>
  <si>
    <t>Resumo por Classificação</t>
  </si>
  <si>
    <t>Classificação</t>
  </si>
  <si>
    <t>Ano 0</t>
  </si>
  <si>
    <t>Total</t>
  </si>
  <si>
    <t>OPEX (excl. depreciação)</t>
  </si>
  <si>
    <t>Pessoal</t>
  </si>
  <si>
    <t>Serviços / Sustentação</t>
  </si>
  <si>
    <t>Total CAPEX</t>
  </si>
  <si>
    <t>Total OPEX (caixa)</t>
  </si>
  <si>
    <t>Detalhamento de Investimentos e Custos</t>
  </si>
  <si>
    <t>Item</t>
  </si>
  <si>
    <t>CAPEX / OPEX</t>
  </si>
  <si>
    <t>Categoria</t>
  </si>
  <si>
    <t>Compra / Aluguel</t>
  </si>
  <si>
    <t>Qtd.</t>
  </si>
  <si>
    <t>Equipe de desenvolvimento/UX/DevOps</t>
  </si>
  <si>
    <t>Serviço</t>
  </si>
  <si>
    <t>HC</t>
  </si>
  <si>
    <t>Treinamento / Capacitação</t>
  </si>
  <si>
    <t>Compra</t>
  </si>
  <si>
    <t>Pacote</t>
  </si>
  <si>
    <t>Notebooks / Hardware</t>
  </si>
  <si>
    <t>Hardware</t>
  </si>
  <si>
    <t>Un.</t>
  </si>
  <si>
    <t>Cloud / Infraestrutura AWS</t>
  </si>
  <si>
    <t>Aluguel</t>
  </si>
  <si>
    <t>Mês</t>
  </si>
  <si>
    <t>Claude / API de IA</t>
  </si>
  <si>
    <t>Uso / API</t>
  </si>
  <si>
    <t>Ano</t>
  </si>
  <si>
    <t>Configuração do Dominio</t>
  </si>
  <si>
    <t>Go-To-Market / Vendas B2B (Lançamento)</t>
  </si>
  <si>
    <t>Campanha</t>
  </si>
  <si>
    <t>Go-To-Market / Vendas B2B (Recorrente)</t>
  </si>
  <si>
    <t>Suporte / Sustentação</t>
  </si>
  <si>
    <t>Monitoramento e Observabilidade (SaaS)</t>
  </si>
  <si>
    <t>Contabilidade</t>
  </si>
  <si>
    <t>Impostos / Taxas operacionais</t>
  </si>
  <si>
    <t>Impostos</t>
  </si>
  <si>
    <t>Taxa</t>
  </si>
  <si>
    <t>Contingência</t>
  </si>
  <si>
    <t>Reserva</t>
  </si>
  <si>
    <t>Projeto</t>
  </si>
  <si>
    <t>TOTAL ESTIMADO</t>
  </si>
  <si>
    <t>—</t>
  </si>
  <si>
    <t>Nota: depreciação apoia a visão contábil, mas é item não-caixa. A análise econômica deve considerar o Fluxo de Caixa.</t>
  </si>
  <si>
    <t>Individual</t>
  </si>
  <si>
    <t>Explicação</t>
  </si>
  <si>
    <t>Remuneração de 3 desenvolvedores plenos no Ano 0 totalizando R$ 304.812,00 (R$ 8.466,52/mês por dev), com reajuste anual de 5% conforme inflação.</t>
  </si>
  <si>
    <t>Baseado em pesquisas, estimativa média de R$ 2.000 para treinamentos e capacitações da equipe no primeiro ano. Nos anos seguintes, foi considerada uma necessidade menor, de R$ 800,00 anuais.</t>
  </si>
  <si>
    <t>Aquisição de 5 notebooks corporativos (R$ 5.899/unidade) no Ano 0. Substituição integral no Ano 3 corrigida pela inflação composta de 5% a.a. em 3 anos (fator 1,1576 = R$ 34.144,38).</t>
  </si>
  <si>
    <t>Estimativa de R$ 3.720,00 mensais para infraestrutura e banco na AWS (R$ 44.640,00/ano), com reajuste anual de 5% nos anos seguintes.</t>
  </si>
  <si>
    <t>Licenças de API de IA (Claude/LLM) estimadas em R$ 1.100,00/ano por desenvolvedor (3 licenças = R$ 3.300,00/ano), reajustadas a 5% a.a.</t>
  </si>
  <si>
    <t>Anuidade de registro de domínio e DNS (Registro.br / Route53), classificada como despesa operacional (OPEX), reajustada a 5% a.a.</t>
  </si>
  <si>
    <t>Verba inicial de Go-To-Market B2B no Ano 1 para estruturação de materiais de vendas técnicas, landing page institucional e setup de prospecção comercial.</t>
  </si>
  <si>
    <t>Verba comercial recorrente de R$ 3.000,00/mês (R$ 36.000,00/ano) para assessoria de prospecção ativa outbound B2B e participação em eventos de mobilidade (ex: NTU/ANTP), com reajuste de 5% a.a.</t>
  </si>
  <si>
    <t>Valor baseado na pesquisa do estado de são paulo considerando 2 analistas de suporte a nível pleno, com o ajuste por inflação de 5% (dado variação fica no intervalo de 4% a 6%).</t>
  </si>
  <si>
    <t>Assinatura SaaS</t>
  </si>
  <si>
    <t>Assinatura de ferramentas SaaS gerenciadas de observabilidade (AWS CloudWatch, Grafana Cloud Pro, Sentry) orçada em R$ 1.000,00/mês (R$ 12.000,00/ano), operadas pela equipe dev com reajuste de 5% a.a.</t>
  </si>
  <si>
    <t xml:space="preserve">Baseado em pesquisas, estamos considerando uma assinatura de um serviço de contabilidade. </t>
  </si>
  <si>
    <t>Consideramos 15% do faturamento de taxa de um CNPJ Simples.</t>
  </si>
  <si>
    <t>Reserva de contingência para imprevistos operacionais (OPEX), estimada em R$ 5.000 no Ano 0 e R$ 2.000 no Ano 1, reajustada em 5% ao ano.</t>
  </si>
  <si>
    <t>Projeção de Receitas</t>
  </si>
  <si>
    <t>Clientes, adoção, ticket, churn e investimentos de aquisição</t>
  </si>
  <si>
    <t>Premissas e Projeção - 5 anos</t>
  </si>
  <si>
    <t>Base inicial de clientes / usuários</t>
  </si>
  <si>
    <t>clientes</t>
  </si>
  <si>
    <t>Novos clientes / usuários</t>
  </si>
  <si>
    <t>Crescimento de novos clientes</t>
  </si>
  <si>
    <t>Churn</t>
  </si>
  <si>
    <t>Clientes ativos ao fim do ano</t>
  </si>
  <si>
    <t>Curva de adoção / MAU</t>
  </si>
  <si>
    <t>% ativos</t>
  </si>
  <si>
    <t>MAU médio estimado</t>
  </si>
  <si>
    <t>usuários</t>
  </si>
  <si>
    <t>Ticket médio / ASP</t>
  </si>
  <si>
    <t>R$ / mês</t>
  </si>
  <si>
    <t>Sazonalidade</t>
  </si>
  <si>
    <t>fator</t>
  </si>
  <si>
    <t>Receita bruta projetada</t>
  </si>
  <si>
    <t>R$ / ano</t>
  </si>
  <si>
    <t>Marketing / mídia</t>
  </si>
  <si>
    <t>CAC</t>
  </si>
  <si>
    <t>R$ / novo cliente</t>
  </si>
  <si>
    <t>Resumo de Receita</t>
  </si>
  <si>
    <t>Receita projetada</t>
  </si>
  <si>
    <t>Fluxo de Caixa Projetado</t>
  </si>
  <si>
    <t>Fluxo econômico do projeto: investimento, operação, geração de caixa e payback</t>
  </si>
  <si>
    <t>Fluxo de Caixa - Ano 0 a Ano 5</t>
  </si>
  <si>
    <t>Linha</t>
  </si>
  <si>
    <t>Receita anual esperada</t>
  </si>
  <si>
    <t>Custo operacional anualizado (OPEX)</t>
  </si>
  <si>
    <t>EBITDA / Resultado operacional</t>
  </si>
  <si>
    <t>Impostos sobre resultado</t>
  </si>
  <si>
    <t>Depreciação (não caixa)</t>
  </si>
  <si>
    <t>Fluxo líquido</t>
  </si>
  <si>
    <t>Fluxo acumulado</t>
  </si>
  <si>
    <t>Payback estimado (anos)</t>
  </si>
  <si>
    <t>Status</t>
  </si>
  <si>
    <t>Indicadores de Viabilidade</t>
  </si>
  <si>
    <t>Métricas para decisão de investimento</t>
  </si>
  <si>
    <t>Indicadores</t>
  </si>
  <si>
    <t>Indicador</t>
  </si>
  <si>
    <t>Resultado</t>
  </si>
  <si>
    <t>Interpretação / Critério</t>
  </si>
  <si>
    <t>TMA</t>
  </si>
  <si>
    <t>VPL &gt; 0 indica criação de valor à taxa de desconto adotada.</t>
  </si>
  <si>
    <t>TIR &gt; TMA indica retorno acima da taxa mínima exigida.</t>
  </si>
  <si>
    <t>ROI &gt; 0 indica retorno líquido positivo sobre o investimento.</t>
  </si>
  <si>
    <t>MOIC &gt; 1,0x indica retorno bruto superior ao capital investido.</t>
  </si>
  <si>
    <t>Quanto menor, mais cedo o investimento é recuperado.</t>
  </si>
  <si>
    <t>Leitura Integrada</t>
  </si>
  <si>
    <t>Sinalização automática</t>
  </si>
  <si>
    <t>Análise de Riscos</t>
  </si>
  <si>
    <t>Registro e priorização dos principais riscos do Business Case</t>
  </si>
  <si>
    <t>Risk Register</t>
  </si>
  <si>
    <t>ID</t>
  </si>
  <si>
    <t>Risco</t>
  </si>
  <si>
    <t>Prob. (1-5)</t>
  </si>
  <si>
    <t>Impacto (1-5)</t>
  </si>
  <si>
    <t>Score</t>
  </si>
  <si>
    <t>Nível</t>
  </si>
  <si>
    <t>Impacto financeiro (R$)</t>
  </si>
  <si>
    <t>Mitigação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</si>
  <si>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</si>
  <si>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</si>
  <si>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</si>
  <si>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</si>
  <si>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</si>
  <si>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</si>
  <si>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</si>
  <si>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</si>
  <si>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</si>
  <si>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</si>
  <si>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</si>
  <si>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</si>
  <si>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</si>
  <si>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</si>
  <si>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</si>
  <si>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Análise de Cenários</t>
  </si>
  <si>
    <t>Sensibilidade do Business Case a mudanças nas premissas</t>
  </si>
  <si>
    <t>Premissas dos Cenários</t>
  </si>
  <si>
    <t>Conservador</t>
  </si>
  <si>
    <t>Base</t>
  </si>
  <si>
    <t>Otimista</t>
  </si>
  <si>
    <t>Multiplicador de Receita</t>
  </si>
  <si>
    <t>Multiplicador de OPEX</t>
  </si>
  <si>
    <t>Multiplicador de CAPEX</t>
  </si>
  <si>
    <t>Resultados por Cenário</t>
  </si>
  <si>
    <t>Receita 5 anos</t>
  </si>
  <si>
    <t>OPEX 5 anos</t>
  </si>
  <si>
    <t>CAPEX total</t>
  </si>
  <si>
    <t>Fluxo de Caixa Ajustado por Cenário</t>
  </si>
  <si>
    <t>Cenário / Fluxo</t>
  </si>
  <si>
    <t>Conservador - Acumulado</t>
  </si>
  <si>
    <t>Base - Acumulado</t>
  </si>
  <si>
    <t>Otimista - Acumulado</t>
  </si>
  <si>
    <t>Conclusão e Recomendações</t>
  </si>
  <si>
    <t>Síntese final da decisão e próximos passos</t>
  </si>
  <si>
    <t>Síntese da Viabilidade</t>
  </si>
  <si>
    <t>Decisão Final</t>
  </si>
  <si>
    <t>Recomendação</t>
  </si>
  <si>
    <t>Aprovar</t>
  </si>
  <si>
    <t>Justificativa da decisão</t>
  </si>
  <si>
    <t>O projeto demonstra forte atratividade econômico-financeira com VPL positivo de R$ 2,95M (TMA 12%), TIR de 95%, ROI de 1,52x e Payback estimado em 3 anos, comprovando sustentabilidade operacional e rápida recuperação do capital investido.</t>
  </si>
  <si>
    <t>Condições para aprovação</t>
  </si>
  <si>
    <t>1. Validação dos pilotos/PoCs comerciais no Ano 1 para atingimento da meta inicial de 4 concessionárias ativas.
2. Manutenção do SLA e disponibilidade da infraestrutura AWS e stack SaaS de observabilidade dentro do orçamento projetado.
3. Monitoramento contínuo do churn e retenção dos contratos B2B.</t>
  </si>
  <si>
    <t>Principais riscos / pontos de atenção</t>
  </si>
  <si>
    <t>1. Ciclo de vendas B2B governamental/concessionárias mais longo que o previsto (mitigado por verba GTM dedicada e assessoria comercial).
2. Variação na precisão dos dados climáticos e telemetria (mitigado por múltiplos provedores de dados e validação de features no MVP).</t>
  </si>
  <si>
    <t>Próximos passos</t>
  </si>
  <si>
    <t>1. Finalização do desenvolvimento dos pacotes de trabalho da WBS (MVP BusFlow).
2. Início da prospecção ativa B2B junto às primeiras concessionárias de transporte público de São Paulo.
3. Implantação e homologação do ambiente de observabilidade SaaS e alertas em tempo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</si>
</sst>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;[Red]\(\R\$\ #,##0\);\-"/>
    <numFmt numFmtId="165" formatCode="0.0%;[Red]\(0.0%\);\-"/>
    <numFmt numFmtId="166" formatCode="0.0\x;[Red]\(0.0\x\);\-"/>
    <numFmt numFmtId="167" formatCode="[&gt;=6]&quot;&gt; 5 anos&quot;;0.0\ &quot;anos&quot;;\-"/>
    <numFmt numFmtId="168" formatCode="&quot;R$&quot;\ #,##0.00"/>
    <numFmt numFmtId="169" formatCode="#,##0;[Red]\(#,##0\);\-"/>
    <numFmt numFmtId="170" formatCode="\R\$\ #,##0.00;[Red]\(\R\$\ #,##0.00\);\-"/>
    <numFmt numFmtId="171" formatCode="0.0;[Red]\(0.0\);\-"/>
  </numFmts>
  <fonts count="17">
    <font>
      <sz val="11"/>
      <color rgb="FF000000"/>
      <name val="Carlito"/>
      <scheme val="minor"/>
    </font>
    <font>
      <b/>
      <sz val="18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  <font>
      <sz val="11"/>
      <color theme="1"/>
      <name val="Carlito"/>
      <scheme val="minor"/>
    </font>
    <font>
      <sz val="11"/>
      <color rgb="FF0000FF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rgb="FF17365D"/>
      <name val="Carlito"/>
    </font>
    <font>
      <sz val="11"/>
      <color rgb="FF008000"/>
      <name val="Carlito"/>
    </font>
    <font>
      <i/>
      <sz val="11"/>
      <color rgb="FF17365D"/>
      <name val="Carlito"/>
    </font>
    <font>
      <i/>
      <sz val="11"/>
      <color rgb="FFC65911"/>
      <name val="Carlito"/>
    </font>
    <font>
      <b/>
      <sz val="11"/>
      <color rgb="FF000000"/>
      <name val="Carlito"/>
    </font>
    <font>
      <b/>
      <sz val="12"/>
      <color rgb="FF008000"/>
      <name val="Carlito"/>
    </font>
    <font>
      <u/>
      <sz val="11"/>
      <color theme="10"/>
      <name val="Carlito"/>
      <scheme val="minor"/>
    </font>
    <font>
      <sz val="11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5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 applyAlignment="1">
      <alignment wrapText="1"/>
    </xf>
    <xf numFmtId="0" fontId="6" fillId="0" borderId="0" xfId="0" applyFont="1" applyAlignment="1">
      <alignment wrapText="1"/>
    </xf>
    <xf numFmtId="165" fontId="5" fillId="5" borderId="0" xfId="0" applyNumberFormat="1" applyFont="1" applyFill="1"/>
    <xf numFmtId="164" fontId="6" fillId="0" borderId="0" xfId="0" applyNumberFormat="1" applyFont="1"/>
    <xf numFmtId="164" fontId="7" fillId="0" borderId="0" xfId="0" applyNumberFormat="1" applyFont="1"/>
    <xf numFmtId="0" fontId="8" fillId="0" borderId="0" xfId="0" applyFont="1" applyAlignment="1">
      <alignment wrapText="1"/>
    </xf>
    <xf numFmtId="0" fontId="8" fillId="7" borderId="0" xfId="0" applyFont="1" applyFill="1" applyAlignment="1">
      <alignment horizontal="center"/>
    </xf>
    <xf numFmtId="164" fontId="9" fillId="0" borderId="0" xfId="0" applyNumberFormat="1" applyFont="1"/>
    <xf numFmtId="0" fontId="7" fillId="5" borderId="0" xfId="0" applyFont="1" applyFill="1"/>
    <xf numFmtId="165" fontId="9" fillId="0" borderId="0" xfId="0" applyNumberFormat="1" applyFont="1"/>
    <xf numFmtId="166" fontId="9" fillId="0" borderId="0" xfId="0" applyNumberFormat="1" applyFont="1"/>
    <xf numFmtId="167" fontId="9" fillId="0" borderId="0" xfId="0" applyNumberFormat="1" applyFont="1"/>
    <xf numFmtId="165" fontId="7" fillId="0" borderId="0" xfId="0" applyNumberFormat="1" applyFont="1"/>
    <xf numFmtId="0" fontId="7" fillId="0" borderId="0" xfId="0" applyFont="1" applyAlignment="1">
      <alignment wrapText="1"/>
    </xf>
    <xf numFmtId="166" fontId="7" fillId="0" borderId="0" xfId="0" applyNumberFormat="1" applyFont="1"/>
    <xf numFmtId="167" fontId="7" fillId="0" borderId="0" xfId="0" applyNumberFormat="1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4" fillId="5" borderId="0" xfId="1" applyFill="1" applyAlignment="1">
      <alignment vertical="center" wrapText="1"/>
    </xf>
    <xf numFmtId="164" fontId="15" fillId="5" borderId="0" xfId="0" applyNumberFormat="1" applyFont="1" applyFill="1"/>
    <xf numFmtId="0" fontId="15" fillId="5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64" fontId="15" fillId="5" borderId="1" xfId="0" applyNumberFormat="1" applyFont="1" applyFill="1" applyBorder="1" applyAlignment="1">
      <alignment horizontal="left" vertical="center"/>
    </xf>
    <xf numFmtId="14" fontId="15" fillId="5" borderId="0" xfId="0" applyNumberFormat="1" applyFont="1" applyFill="1" applyAlignment="1">
      <alignment horizontal="center" vertical="center" wrapText="1"/>
    </xf>
    <xf numFmtId="168" fontId="15" fillId="5" borderId="0" xfId="0" applyNumberFormat="1" applyFont="1" applyFill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0" fillId="3" borderId="0" xfId="0" applyFont="1" applyFill="1" applyAlignment="1">
      <alignment wrapText="1"/>
    </xf>
    <xf numFmtId="0" fontId="5" fillId="5" borderId="0" xfId="0" applyFont="1" applyFill="1" applyAlignment="1">
      <alignment vertical="top" wrapText="1"/>
    </xf>
    <xf numFmtId="164" fontId="15" fillId="5" borderId="1" xfId="0" applyNumberFormat="1" applyFont="1" applyFill="1" applyBorder="1" applyAlignment="1">
      <alignment horizontal="left" vertical="center" wrapText="1"/>
    </xf>
    <xf numFmtId="0" fontId="11" fillId="8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wrapText="1"/>
    </xf>
    <xf numFmtId="0" fontId="13" fillId="9" borderId="0" xfId="0" applyFont="1" applyFill="1" applyAlignment="1">
      <alignment horizontal="center" wrapText="1"/>
    </xf>
    <xf numFmtId="165" fontId="5" fillId="10" borderId="0" xfId="0" applyNumberFormat="1" applyFont="1" applyFill="1"/>
    <xf numFmtId="169" fontId="7" fillId="0" borderId="0" xfId="0" applyNumberFormat="1" applyFont="1"/>
    <xf numFmtId="170" fontId="5" fillId="10" borderId="0" xfId="0" applyNumberFormat="1" applyFont="1" applyFill="1"/>
    <xf numFmtId="171" fontId="5" fillId="10" borderId="0" xfId="0" applyNumberFormat="1" applyFont="1" applyFill="1"/>
    <xf numFmtId="164" fontId="9" fillId="11" borderId="0" xfId="0" applyNumberFormat="1" applyFont="1" applyFill="1"/>
    <xf numFmtId="170" fontId="7" fillId="0" borderId="0" xfId="0" applyNumberFormat="1" applyFont="1"/>
    <xf numFmtId="10" fontId="5" fillId="10" borderId="0" xfId="0" applyNumberFormat="1" applyFont="1" applyFill="1"/>
    <xf numFmtId="1" fontId="5" fillId="10" borderId="0" xfId="0" applyNumberFormat="1" applyFont="1" applyFill="1"/>
    <xf numFmtId="1" fontId="7" fillId="11" borderId="0" xfId="0" applyNumberFormat="1" applyFont="1" applyFill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Hiperlink" xfId="1" builtinId="8"/>
    <cellStyle name="Normal" xfId="0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Evolução Financeira - 5 anos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Ano 1</c:v>
          </c:tx>
          <c:spPr>
            <a:ln cmpd="sng">
              <a:solidFill>
                <a:srgbClr val="156082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Executivo'!$K$4:$K$7</c:f>
              <c:numCache>
                <c:formatCode>\R\$\ #,##0;[Red]\(\R\$\ #,##0\);\-</c:formatCode>
                <c:ptCount val="4"/>
                <c:pt idx="0">
                  <c:v>374400</c:v>
                </c:pt>
                <c:pt idx="1">
                  <c:v>526911.60000000009</c:v>
                </c:pt>
                <c:pt idx="2">
                  <c:v>0</c:v>
                </c:pt>
                <c:pt idx="3">
                  <c:v>-152511.60000000009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5-4761-BD46-0B4EE5FFF66C}"/>
            </c:ext>
          </c:extLst>
        </c:ser>
        <c:ser>
          <c:idx val="1"/>
          <c:order val="1"/>
          <c:tx>
            <c:v>Ano 2</c:v>
          </c:tx>
          <c:spPr>
            <a:ln cmpd="sng">
              <a:solidFill>
                <a:srgbClr val="E97132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Executivo'!$L$4:$L$7</c:f>
              <c:numCache>
                <c:formatCode>\R\$\ #,##0;[Red]\(\R\$\ #,##0\);\-</c:formatCode>
                <c:ptCount val="4"/>
                <c:pt idx="0">
                  <c:v>813960</c:v>
                </c:pt>
                <c:pt idx="1">
                  <c:v>538057.17999999993</c:v>
                </c:pt>
                <c:pt idx="2">
                  <c:v>0</c:v>
                </c:pt>
                <c:pt idx="3">
                  <c:v>275902.82000000007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5-4761-BD46-0B4EE5FFF66C}"/>
            </c:ext>
          </c:extLst>
        </c:ser>
        <c:ser>
          <c:idx val="2"/>
          <c:order val="2"/>
          <c:tx>
            <c:v>Ano 3</c:v>
          </c:tx>
          <c:spPr>
            <a:ln cmpd="sng">
              <a:solidFill>
                <a:srgbClr val="196B24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Executivo'!$M$4:$M$7</c:f>
              <c:numCache>
                <c:formatCode>\R\$\ #,##0;[Red]\(\R\$\ #,##0\);\-</c:formatCode>
                <c:ptCount val="4"/>
                <c:pt idx="0">
                  <c:v>1571723.9999999998</c:v>
                </c:pt>
                <c:pt idx="1">
                  <c:v>564960.03899999999</c:v>
                </c:pt>
                <c:pt idx="2">
                  <c:v>34144.149375000001</c:v>
                </c:pt>
                <c:pt idx="3">
                  <c:v>972619.81162499974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5-4761-BD46-0B4EE5FFF66C}"/>
            </c:ext>
          </c:extLst>
        </c:ser>
        <c:ser>
          <c:idx val="3"/>
          <c:order val="3"/>
          <c:tx>
            <c:v>Ano 4</c:v>
          </c:tx>
          <c:spPr>
            <a:ln cmpd="sng">
              <a:solidFill>
                <a:srgbClr val="0F9ED5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Executivo'!$N$4:$N$7</c:f>
              <c:numCache>
                <c:formatCode>\R\$\ #,##0;[Red]\(\R\$\ #,##0\);\-</c:formatCode>
                <c:ptCount val="4"/>
                <c:pt idx="0">
                  <c:v>2718566.55</c:v>
                </c:pt>
                <c:pt idx="1">
                  <c:v>593208.04095000017</c:v>
                </c:pt>
                <c:pt idx="2">
                  <c:v>0</c:v>
                </c:pt>
                <c:pt idx="3">
                  <c:v>2125358.5090499995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65-4761-BD46-0B4EE5FFF66C}"/>
            </c:ext>
          </c:extLst>
        </c:ser>
        <c:ser>
          <c:idx val="4"/>
          <c:order val="4"/>
          <c:tx>
            <c:v>Ano 5</c:v>
          </c:tx>
          <c:spPr>
            <a:ln cmpd="sng">
              <a:solidFill>
                <a:srgbClr val="A02B93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Executivo'!$O$4:$O$7</c:f>
              <c:numCache>
                <c:formatCode>\R\$\ #,##0;[Red]\(\R\$\ #,##0\);\-</c:formatCode>
                <c:ptCount val="4"/>
                <c:pt idx="0">
                  <c:v>4129316.9831999997</c:v>
                </c:pt>
                <c:pt idx="1">
                  <c:v>622868.44299750007</c:v>
                </c:pt>
                <c:pt idx="2">
                  <c:v>0</c:v>
                </c:pt>
                <c:pt idx="3">
                  <c:v>3506448.5402024994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65-4761-BD46-0B4EE5FF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359321"/>
        <c:axId val="1265680696"/>
      </c:lineChart>
      <c:catAx>
        <c:axId val="1498359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65680696"/>
        <c:crosses val="autoZero"/>
        <c:auto val="1"/>
        <c:lblAlgn val="ctr"/>
        <c:lblOffset val="100"/>
        <c:noMultiLvlLbl val="1"/>
      </c:catAx>
      <c:valAx>
        <c:axId val="1265680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835932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Fluxo e Acumulado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Ano 0</c:v>
          </c:tx>
          <c:spPr>
            <a:ln cmpd="sng">
              <a:solidFill>
                <a:srgbClr val="156082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Caixa'!$B$6:$B$13</c:f>
              <c:numCache>
                <c:formatCode>\R\$\ #,##0;[Red]\(\R\$\ #,##0\);\-</c:formatCode>
                <c:ptCount val="8"/>
                <c:pt idx="0">
                  <c:v>0</c:v>
                </c:pt>
                <c:pt idx="1">
                  <c:v>357792</c:v>
                </c:pt>
                <c:pt idx="2">
                  <c:v>-357792</c:v>
                </c:pt>
                <c:pt idx="3">
                  <c:v>0</c:v>
                </c:pt>
                <c:pt idx="4">
                  <c:v>29495</c:v>
                </c:pt>
                <c:pt idx="5">
                  <c:v>0</c:v>
                </c:pt>
                <c:pt idx="6">
                  <c:v>-387287</c:v>
                </c:pt>
                <c:pt idx="7">
                  <c:v>-387287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2-4147-8C3A-13AFAD901735}"/>
            </c:ext>
          </c:extLst>
        </c:ser>
        <c:ser>
          <c:idx val="1"/>
          <c:order val="1"/>
          <c:tx>
            <c:v>Ano 1</c:v>
          </c:tx>
          <c:spPr>
            <a:ln cmpd="sng">
              <a:solidFill>
                <a:srgbClr val="E97132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Caixa'!$C$6:$C$13</c:f>
              <c:numCache>
                <c:formatCode>\R\$\ #,##0;[Red]\(\R\$\ #,##0\);\-</c:formatCode>
                <c:ptCount val="8"/>
                <c:pt idx="0">
                  <c:v>374400</c:v>
                </c:pt>
                <c:pt idx="1">
                  <c:v>526911.60000000009</c:v>
                </c:pt>
                <c:pt idx="2">
                  <c:v>-152511.60000000009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-152511.60000000009</c:v>
                </c:pt>
                <c:pt idx="7">
                  <c:v>-539798.60000000009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2-4147-8C3A-13AFAD901735}"/>
            </c:ext>
          </c:extLst>
        </c:ser>
        <c:ser>
          <c:idx val="2"/>
          <c:order val="2"/>
          <c:tx>
            <c:v>Ano 2</c:v>
          </c:tx>
          <c:spPr>
            <a:ln cmpd="sng">
              <a:solidFill>
                <a:srgbClr val="196B24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Caixa'!$D$6:$D$13</c:f>
              <c:numCache>
                <c:formatCode>\R\$\ #,##0;[Red]\(\R\$\ #,##0\);\-</c:formatCode>
                <c:ptCount val="8"/>
                <c:pt idx="0">
                  <c:v>813960</c:v>
                </c:pt>
                <c:pt idx="1">
                  <c:v>538057.17999999993</c:v>
                </c:pt>
                <c:pt idx="2">
                  <c:v>275902.82000000007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275902.82000000007</c:v>
                </c:pt>
                <c:pt idx="7">
                  <c:v>-263895.78000000003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2-4147-8C3A-13AFAD901735}"/>
            </c:ext>
          </c:extLst>
        </c:ser>
        <c:ser>
          <c:idx val="3"/>
          <c:order val="3"/>
          <c:tx>
            <c:v>Ano 3</c:v>
          </c:tx>
          <c:spPr>
            <a:ln cmpd="sng">
              <a:solidFill>
                <a:srgbClr val="0F9ED5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Caixa'!$E$6:$E$13</c:f>
              <c:numCache>
                <c:formatCode>\R\$\ #,##0;[Red]\(\R\$\ #,##0\);\-</c:formatCode>
                <c:ptCount val="8"/>
                <c:pt idx="0">
                  <c:v>1571723.9999999998</c:v>
                </c:pt>
                <c:pt idx="1">
                  <c:v>564960.03899999999</c:v>
                </c:pt>
                <c:pt idx="2">
                  <c:v>1006763.9609999998</c:v>
                </c:pt>
                <c:pt idx="3">
                  <c:v>0</c:v>
                </c:pt>
                <c:pt idx="4">
                  <c:v>34144.149375000001</c:v>
                </c:pt>
                <c:pt idx="5">
                  <c:v>0</c:v>
                </c:pt>
                <c:pt idx="6">
                  <c:v>972619.81162499974</c:v>
                </c:pt>
                <c:pt idx="7">
                  <c:v>708724.03162499971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72-4147-8C3A-13AFAD901735}"/>
            </c:ext>
          </c:extLst>
        </c:ser>
        <c:ser>
          <c:idx val="4"/>
          <c:order val="4"/>
          <c:tx>
            <c:v>Ano 4</c:v>
          </c:tx>
          <c:spPr>
            <a:ln cmpd="sng">
              <a:solidFill>
                <a:srgbClr val="A02B93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Caixa'!$F$6:$F$13</c:f>
              <c:numCache>
                <c:formatCode>\R\$\ #,##0;[Red]\(\R\$\ #,##0\);\-</c:formatCode>
                <c:ptCount val="8"/>
                <c:pt idx="0">
                  <c:v>2718566.55</c:v>
                </c:pt>
                <c:pt idx="1">
                  <c:v>593208.04095000017</c:v>
                </c:pt>
                <c:pt idx="2">
                  <c:v>2125358.5090499995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2125358.5090499995</c:v>
                </c:pt>
                <c:pt idx="7">
                  <c:v>2834082.5406749994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72-4147-8C3A-13AFAD901735}"/>
            </c:ext>
          </c:extLst>
        </c:ser>
        <c:ser>
          <c:idx val="5"/>
          <c:order val="5"/>
          <c:tx>
            <c:v>Ano 5</c:v>
          </c:tx>
          <c:spPr>
            <a:ln cmpd="sng">
              <a:solidFill>
                <a:srgbClr val="4EA72E"/>
              </a:solidFill>
              <a:prstDash val="solid"/>
            </a:ln>
          </c:spPr>
          <c:marker>
            <c:symbol val="none"/>
          </c:marker>
          <c:cat>
            <c:strRef>
              <c:f>'Fluxo de Caixa'!$A$6:$A$13</c:f>
              <c:strCache>
                <c:ptCount val="8"/>
                <c:pt idx="0">
                  <c:v>Receita anual esperada</c:v>
                </c:pt>
                <c:pt idx="1">
                  <c:v>Custo operacional anualizado (OPEX)</c:v>
                </c:pt>
                <c:pt idx="2">
                  <c:v>EBITDA / Resultado operacional</c:v>
                </c:pt>
                <c:pt idx="3">
                  <c:v>Impostos sobre resultado</c:v>
                </c:pt>
                <c:pt idx="4">
                  <c:v>CAPEX</c:v>
                </c:pt>
                <c:pt idx="5">
                  <c:v>Depreciação (não caixa)</c:v>
                </c:pt>
                <c:pt idx="6">
                  <c:v>Fluxo líquido</c:v>
                </c:pt>
                <c:pt idx="7">
                  <c:v>Fluxo acumulado</c:v>
                </c:pt>
              </c:strCache>
            </c:strRef>
          </c:cat>
          <c:val>
            <c:numRef>
              <c:f>'Fluxo de Caixa'!$G$6:$G$13</c:f>
              <c:numCache>
                <c:formatCode>\R\$\ #,##0;[Red]\(\R\$\ #,##0\);\-</c:formatCode>
                <c:ptCount val="8"/>
                <c:pt idx="0">
                  <c:v>4129316.9831999997</c:v>
                </c:pt>
                <c:pt idx="1">
                  <c:v>622868.44299750007</c:v>
                </c:pt>
                <c:pt idx="2">
                  <c:v>3506448.5402024994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3506448.5402024994</c:v>
                </c:pt>
                <c:pt idx="7">
                  <c:v>6340531.0808774987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72-4147-8C3A-13AFAD901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219784"/>
        <c:axId val="631109948"/>
      </c:lineChart>
      <c:catAx>
        <c:axId val="600219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31109948"/>
        <c:crosses val="autoZero"/>
        <c:auto val="1"/>
        <c:lblAlgn val="ctr"/>
        <c:lblOffset val="100"/>
        <c:noMultiLvlLbl val="1"/>
      </c:catAx>
      <c:valAx>
        <c:axId val="631109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002197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Comparativo de Cenários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Conservador</c:v>
          </c:tx>
          <c:spPr>
            <a:solidFill>
              <a:srgbClr val="156082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Cenários!$B$12:$B$15</c:f>
              <c:numCache>
                <c:formatCode>\R\$\ #,##0;[Red]\(\R\$\ #,##0\);\-</c:formatCode>
                <c:ptCount val="4"/>
                <c:pt idx="0">
                  <c:v>7686374.0265600001</c:v>
                </c:pt>
                <c:pt idx="1">
                  <c:v>3524177.0332422513</c:v>
                </c:pt>
                <c:pt idx="2">
                  <c:v>70003.064312500006</c:v>
                </c:pt>
                <c:pt idx="3">
                  <c:v>2250249.6149764699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61-4129-A81A-8A694A0FC319}"/>
            </c:ext>
          </c:extLst>
        </c:ser>
        <c:ser>
          <c:idx val="1"/>
          <c:order val="1"/>
          <c:tx>
            <c:v>Base</c:v>
          </c:tx>
          <c:spPr>
            <a:solidFill>
              <a:srgbClr val="E97132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Cenários!$C$12:$C$15</c:f>
              <c:numCache>
                <c:formatCode>\R\$\ #,##0;[Red]\(\R\$\ #,##0\);\-</c:formatCode>
                <c:ptCount val="4"/>
                <c:pt idx="0">
                  <c:v>9607967.5331999995</c:v>
                </c:pt>
                <c:pt idx="1">
                  <c:v>3203797.3029475007</c:v>
                </c:pt>
                <c:pt idx="2">
                  <c:v>63639.149375000001</c:v>
                </c:pt>
                <c:pt idx="3">
                  <c:v>3729138.3635201547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61-4129-A81A-8A694A0FC319}"/>
            </c:ext>
          </c:extLst>
        </c:ser>
        <c:ser>
          <c:idx val="2"/>
          <c:order val="2"/>
          <c:tx>
            <c:v>Otimista</c:v>
          </c:tx>
          <c:spPr>
            <a:solidFill>
              <a:srgbClr val="196B24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Cenários!$D$12:$D$15</c:f>
              <c:numCache>
                <c:formatCode>\R\$\ #,##0;[Red]\(\R\$\ #,##0\);\-</c:formatCode>
                <c:ptCount val="4"/>
                <c:pt idx="0">
                  <c:v>11529561.03984</c:v>
                </c:pt>
                <c:pt idx="1">
                  <c:v>3043607.4378001257</c:v>
                </c:pt>
                <c:pt idx="2">
                  <c:v>63639.149375000001</c:v>
                </c:pt>
                <c:pt idx="3">
                  <c:v>5083160.3595353877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261-4129-A81A-8A694A0FC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9626300"/>
        <c:axId val="571177992"/>
      </c:barChart>
      <c:catAx>
        <c:axId val="1619626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71177992"/>
        <c:crosses val="autoZero"/>
        <c:auto val="1"/>
        <c:lblAlgn val="ctr"/>
        <c:lblOffset val="100"/>
        <c:noMultiLvlLbl val="1"/>
      </c:catAx>
      <c:valAx>
        <c:axId val="571177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196263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11277600" cy="3400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9448800" cy="3400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715125" cy="2952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byg\Downloads\BC_grupo_06_preench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Investiment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scog.com/en-us/" TargetMode="External"/><Relationship Id="rId2" Type="http://schemas.openxmlformats.org/officeDocument/2006/relationships/hyperlink" Target="https://www.initse.com/enus/solutions/operations-control-real-time-passenger-information/?" TargetMode="External"/><Relationship Id="rId1" Type="http://schemas.openxmlformats.org/officeDocument/2006/relationships/hyperlink" Target="https://optibus.com/product/?new_lang=e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26" workbookViewId="0">
      <selection activeCell="B7" sqref="B7:H8"/>
    </sheetView>
  </sheetViews>
  <sheetFormatPr defaultColWidth="12.625" defaultRowHeight="15" customHeight="1"/>
  <cols>
    <col min="1" max="1" width="36" customWidth="1"/>
    <col min="2" max="8" width="16" customWidth="1"/>
    <col min="9" max="26" width="8.625" customWidth="1"/>
  </cols>
  <sheetData>
    <row r="1" spans="1:15" ht="30" customHeight="1">
      <c r="A1" s="39" t="s">
        <v>0</v>
      </c>
      <c r="B1" s="57"/>
      <c r="C1" s="57"/>
      <c r="D1" s="57"/>
      <c r="E1" s="57"/>
      <c r="F1" s="57"/>
      <c r="G1" s="57"/>
      <c r="H1" s="57"/>
    </row>
    <row r="2" spans="1:15" ht="21.75" customHeight="1">
      <c r="A2" s="38" t="s">
        <v>1</v>
      </c>
      <c r="B2" s="57"/>
      <c r="C2" s="57"/>
      <c r="D2" s="57"/>
      <c r="E2" s="57"/>
      <c r="F2" s="57"/>
      <c r="G2" s="57"/>
      <c r="H2" s="57"/>
    </row>
    <row r="3" spans="1:15" ht="13.7" customHeight="1"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</row>
    <row r="4" spans="1:15" ht="21.75" customHeight="1">
      <c r="A4" s="40" t="s">
        <v>8</v>
      </c>
      <c r="B4" s="57"/>
      <c r="C4" s="57"/>
      <c r="D4" s="57"/>
      <c r="E4" s="57"/>
      <c r="F4" s="57"/>
      <c r="G4" s="57"/>
      <c r="H4" s="57"/>
      <c r="J4" s="2" t="s">
        <v>9</v>
      </c>
      <c r="K4" s="8">
        <f>'Projeção Receitas'!C20</f>
        <v>374400</v>
      </c>
      <c r="L4" s="8">
        <f>'Projeção Receitas'!D20</f>
        <v>813960</v>
      </c>
      <c r="M4" s="8">
        <f>'Projeção Receitas'!E20</f>
        <v>1571723.9999999998</v>
      </c>
      <c r="N4" s="8">
        <f>'Projeção Receitas'!F20</f>
        <v>2718566.55</v>
      </c>
      <c r="O4" s="8">
        <f>'Projeção Receitas'!G20</f>
        <v>4129316.9831999997</v>
      </c>
    </row>
    <row r="5" spans="1:15" ht="13.7" customHeight="1">
      <c r="A5" s="10" t="s">
        <v>10</v>
      </c>
      <c r="B5" s="42" t="s">
        <v>11</v>
      </c>
      <c r="C5" s="57"/>
      <c r="D5" s="57"/>
      <c r="E5" s="57"/>
      <c r="F5" s="57"/>
      <c r="G5" s="57"/>
      <c r="H5" s="57"/>
      <c r="J5" s="2" t="s">
        <v>12</v>
      </c>
      <c r="K5" s="8">
        <f>'Resumo Investimentos'!C11</f>
        <v>526911.60000000009</v>
      </c>
      <c r="L5" s="8">
        <f>'Resumo Investimentos'!D11</f>
        <v>538057.17999999993</v>
      </c>
      <c r="M5" s="8">
        <f>'Resumo Investimentos'!E11</f>
        <v>564960.03899999999</v>
      </c>
      <c r="N5" s="8">
        <f>'Resumo Investimentos'!F11</f>
        <v>593208.04095000017</v>
      </c>
      <c r="O5" s="8">
        <f>'Resumo Investimentos'!G11</f>
        <v>622868.44299750007</v>
      </c>
    </row>
    <row r="6" spans="1:15" ht="13.7" customHeight="1">
      <c r="A6" s="6"/>
      <c r="J6" s="2" t="s">
        <v>13</v>
      </c>
      <c r="K6" s="8">
        <f>'Resumo Investimentos'!C10</f>
        <v>0</v>
      </c>
      <c r="L6" s="8">
        <f>'Resumo Investimentos'!D10</f>
        <v>0</v>
      </c>
      <c r="M6" s="8">
        <f>'Resumo Investimentos'!E10</f>
        <v>34144.149375000001</v>
      </c>
      <c r="N6" s="8">
        <f>'Resumo Investimentos'!F10</f>
        <v>0</v>
      </c>
      <c r="O6" s="8">
        <f>'Resumo Investimentos'!G10</f>
        <v>0</v>
      </c>
    </row>
    <row r="7" spans="1:15" ht="13.7" customHeight="1">
      <c r="A7" s="10" t="s">
        <v>14</v>
      </c>
      <c r="B7" s="42" t="s">
        <v>15</v>
      </c>
      <c r="C7" s="57"/>
      <c r="D7" s="57"/>
      <c r="E7" s="57"/>
      <c r="F7" s="57"/>
      <c r="G7" s="57"/>
      <c r="H7" s="57"/>
      <c r="J7" s="2" t="s">
        <v>16</v>
      </c>
      <c r="K7" s="8">
        <f>'Fluxo de Caixa'!C12</f>
        <v>-152511.60000000009</v>
      </c>
      <c r="L7" s="8">
        <f>'Fluxo de Caixa'!D12</f>
        <v>275902.82000000007</v>
      </c>
      <c r="M7" s="8">
        <f>'Fluxo de Caixa'!E12</f>
        <v>972619.81162499974</v>
      </c>
      <c r="N7" s="8">
        <f>'Fluxo de Caixa'!F12</f>
        <v>2125358.5090499995</v>
      </c>
      <c r="O7" s="8">
        <f>'Fluxo de Caixa'!G12</f>
        <v>3506448.5402024994</v>
      </c>
    </row>
    <row r="8" spans="1:15" ht="13.7" customHeight="1">
      <c r="A8" s="6"/>
      <c r="B8" s="57"/>
      <c r="C8" s="57"/>
      <c r="D8" s="57"/>
      <c r="E8" s="57"/>
      <c r="F8" s="57"/>
      <c r="G8" s="57"/>
      <c r="H8" s="57"/>
    </row>
    <row r="9" spans="1:15" ht="13.7" customHeight="1">
      <c r="A9" s="6"/>
      <c r="B9" s="6"/>
      <c r="C9" s="6"/>
      <c r="D9" s="6"/>
      <c r="E9" s="6"/>
      <c r="F9" s="6"/>
      <c r="G9" s="6"/>
      <c r="H9" s="6"/>
    </row>
    <row r="10" spans="1:15" ht="13.7" customHeight="1">
      <c r="A10" s="10" t="s">
        <v>17</v>
      </c>
      <c r="B10" s="42" t="s">
        <v>18</v>
      </c>
      <c r="C10" s="57"/>
      <c r="D10" s="57"/>
      <c r="E10" s="57"/>
      <c r="F10" s="57"/>
      <c r="G10" s="57"/>
      <c r="H10" s="57"/>
    </row>
    <row r="11" spans="1:15" ht="13.7" customHeight="1">
      <c r="A11" s="6"/>
      <c r="B11" s="57"/>
      <c r="C11" s="57"/>
      <c r="D11" s="57"/>
      <c r="E11" s="57"/>
      <c r="F11" s="57"/>
      <c r="G11" s="57"/>
      <c r="H11" s="57"/>
    </row>
    <row r="12" spans="1:15" ht="13.7" customHeight="1">
      <c r="A12" s="6"/>
      <c r="B12" s="6"/>
      <c r="C12" s="6"/>
      <c r="D12" s="6"/>
      <c r="E12" s="6"/>
      <c r="F12" s="6"/>
      <c r="G12" s="6"/>
      <c r="H12" s="6"/>
    </row>
    <row r="13" spans="1:15" ht="13.7" customHeight="1">
      <c r="A13" s="10" t="s">
        <v>19</v>
      </c>
      <c r="B13" s="42" t="s">
        <v>20</v>
      </c>
      <c r="C13" s="57"/>
      <c r="D13" s="57"/>
      <c r="E13" s="57"/>
      <c r="F13" s="57"/>
      <c r="G13" s="57"/>
      <c r="H13" s="57"/>
    </row>
    <row r="14" spans="1:15" ht="13.7" customHeight="1">
      <c r="A14" s="6"/>
      <c r="B14" s="57"/>
      <c r="C14" s="57"/>
      <c r="D14" s="57"/>
      <c r="E14" s="57"/>
      <c r="F14" s="57"/>
      <c r="G14" s="57"/>
      <c r="H14" s="57"/>
    </row>
    <row r="15" spans="1:15" ht="13.7" customHeight="1">
      <c r="A15" s="6"/>
      <c r="B15" s="6"/>
      <c r="C15" s="6"/>
      <c r="D15" s="6"/>
      <c r="E15" s="6"/>
      <c r="F15" s="6"/>
      <c r="G15" s="6"/>
      <c r="H15" s="6"/>
    </row>
    <row r="16" spans="1:15" ht="13.7" customHeight="1">
      <c r="A16" s="10" t="s">
        <v>21</v>
      </c>
      <c r="B16" s="42" t="s">
        <v>22</v>
      </c>
      <c r="C16" s="57"/>
      <c r="D16" s="57"/>
      <c r="E16" s="57"/>
      <c r="F16" s="57"/>
      <c r="G16" s="57"/>
      <c r="H16" s="57"/>
    </row>
    <row r="17" spans="1:8" ht="13.7" customHeight="1">
      <c r="A17" s="6"/>
      <c r="B17" s="57"/>
      <c r="C17" s="57"/>
      <c r="D17" s="57"/>
      <c r="E17" s="57"/>
      <c r="F17" s="57"/>
      <c r="G17" s="57"/>
      <c r="H17" s="57"/>
    </row>
    <row r="20" spans="1:8" ht="21.75" customHeight="1">
      <c r="A20" s="37" t="s">
        <v>23</v>
      </c>
      <c r="B20" s="57"/>
      <c r="C20" s="57"/>
      <c r="D20" s="57"/>
      <c r="E20" s="57"/>
      <c r="F20" s="57"/>
      <c r="G20" s="57"/>
      <c r="H20" s="57"/>
    </row>
    <row r="21" spans="1:8" ht="15.75" customHeight="1"/>
    <row r="22" spans="1:8" ht="15.75" customHeight="1">
      <c r="A22" s="11" t="s">
        <v>24</v>
      </c>
      <c r="C22" s="11" t="s">
        <v>25</v>
      </c>
      <c r="E22" s="11" t="s">
        <v>26</v>
      </c>
      <c r="G22" s="11" t="s">
        <v>27</v>
      </c>
    </row>
    <row r="23" spans="1:8" ht="15.75" customHeight="1">
      <c r="A23" s="12">
        <f>'Resumo Investimentos'!H10</f>
        <v>63639.149375000001</v>
      </c>
      <c r="C23" s="12">
        <f>'Resumo Investimentos'!H11</f>
        <v>3203797.3029475007</v>
      </c>
      <c r="E23" s="12">
        <f>'Projeção Receitas'!G21</f>
        <v>9607967.5331999995</v>
      </c>
      <c r="G23" s="12">
        <f>Indicadores!B6</f>
        <v>3729138.3635201533</v>
      </c>
    </row>
    <row r="24" spans="1:8" ht="15.75" customHeight="1"/>
    <row r="25" spans="1:8" ht="15.75" customHeight="1">
      <c r="A25" s="11" t="s">
        <v>28</v>
      </c>
      <c r="C25" s="11" t="s">
        <v>29</v>
      </c>
      <c r="E25" s="11" t="s">
        <v>30</v>
      </c>
      <c r="G25" s="11" t="s">
        <v>31</v>
      </c>
    </row>
    <row r="26" spans="1:8" ht="15.75" customHeight="1">
      <c r="A26" s="14">
        <f>Indicadores!B7</f>
        <v>0.96136054962281769</v>
      </c>
      <c r="C26" s="14">
        <f>Indicadores!B8</f>
        <v>1.9405216209700533</v>
      </c>
      <c r="E26" s="15">
        <f>Indicadores!B9</f>
        <v>12.746105086003368</v>
      </c>
      <c r="G26" s="16">
        <f>Indicadores!B10</f>
        <v>3</v>
      </c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spans="1:8" ht="15.75" customHeight="1"/>
    <row r="34" spans="1:8" ht="15.75" customHeight="1"/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>
      <c r="A47" s="41" t="s">
        <v>32</v>
      </c>
      <c r="B47" s="57"/>
      <c r="C47" s="57"/>
      <c r="D47" s="57"/>
      <c r="E47" s="57"/>
      <c r="F47" s="57"/>
      <c r="G47" s="57"/>
      <c r="H47" s="57"/>
    </row>
    <row r="48" spans="1:8" ht="15.75" customHeight="1">
      <c r="A48" s="57"/>
      <c r="B48" s="57"/>
      <c r="C48" s="57"/>
      <c r="D48" s="57"/>
      <c r="E48" s="57"/>
      <c r="F48" s="57"/>
      <c r="G48" s="57"/>
      <c r="H48" s="5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:H1"/>
    <mergeCell ref="B7:H8"/>
    <mergeCell ref="B5:H5"/>
    <mergeCell ref="B10:H11"/>
    <mergeCell ref="A4:H4"/>
    <mergeCell ref="A47:H48"/>
    <mergeCell ref="A20:H20"/>
    <mergeCell ref="A2:H2"/>
    <mergeCell ref="B13:H14"/>
    <mergeCell ref="B16:H1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topLeftCell="B2" workbookViewId="0">
      <selection activeCell="D13" sqref="D13"/>
    </sheetView>
  </sheetViews>
  <sheetFormatPr defaultColWidth="12.625" defaultRowHeight="15" customHeight="1"/>
  <cols>
    <col min="1" max="1" width="32" customWidth="1"/>
    <col min="2" max="2" width="37.125" customWidth="1"/>
    <col min="3" max="3" width="22.625" bestFit="1" customWidth="1"/>
    <col min="4" max="4" width="48.125" customWidth="1"/>
    <col min="5" max="5" width="42.375" customWidth="1"/>
    <col min="6" max="6" width="26" customWidth="1"/>
    <col min="7" max="7" width="14" customWidth="1"/>
    <col min="8" max="8" width="16" customWidth="1"/>
    <col min="9" max="9" width="18" customWidth="1"/>
    <col min="10" max="10" width="41.625" customWidth="1"/>
    <col min="11" max="26" width="8.625" customWidth="1"/>
  </cols>
  <sheetData>
    <row r="1" spans="1:10" ht="30" customHeight="1">
      <c r="A1" s="39" t="s">
        <v>33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1.75" customHeight="1">
      <c r="A2" s="38" t="s">
        <v>34</v>
      </c>
      <c r="B2" s="57"/>
      <c r="C2" s="57"/>
      <c r="D2" s="57"/>
      <c r="E2" s="57"/>
      <c r="F2" s="57"/>
      <c r="G2" s="57"/>
      <c r="H2" s="57"/>
      <c r="I2" s="57"/>
      <c r="J2" s="57"/>
    </row>
    <row r="4" spans="1:10" ht="21.75" customHeight="1">
      <c r="A4" s="40" t="s">
        <v>35</v>
      </c>
      <c r="B4" s="57"/>
      <c r="C4" s="57"/>
      <c r="D4" s="57"/>
      <c r="E4" s="57"/>
      <c r="F4" s="57"/>
      <c r="G4" s="57"/>
      <c r="H4" s="57"/>
      <c r="I4" s="57"/>
      <c r="J4" s="57"/>
    </row>
    <row r="5" spans="1:10" ht="27.6" customHeight="1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</row>
    <row r="6" spans="1:10" ht="44.1" customHeight="1">
      <c r="A6" s="24" t="s">
        <v>46</v>
      </c>
      <c r="B6" s="24" t="s">
        <v>47</v>
      </c>
      <c r="C6" s="24" t="s">
        <v>48</v>
      </c>
      <c r="D6" s="24" t="s">
        <v>49</v>
      </c>
      <c r="E6" s="24" t="s">
        <v>50</v>
      </c>
      <c r="F6" s="34">
        <v>46266</v>
      </c>
      <c r="G6" s="34">
        <v>46270</v>
      </c>
      <c r="H6" s="24" t="s">
        <v>51</v>
      </c>
      <c r="I6" s="35">
        <v>6096.24</v>
      </c>
      <c r="J6" s="24" t="s">
        <v>52</v>
      </c>
    </row>
    <row r="7" spans="1:10" ht="36.6" customHeight="1">
      <c r="A7" s="24" t="s">
        <v>53</v>
      </c>
      <c r="B7" s="24" t="s">
        <v>54</v>
      </c>
      <c r="C7" s="24" t="s">
        <v>55</v>
      </c>
      <c r="D7" s="24" t="s">
        <v>56</v>
      </c>
      <c r="E7" s="24" t="s">
        <v>57</v>
      </c>
      <c r="F7" s="34">
        <v>46271</v>
      </c>
      <c r="G7" s="34">
        <v>46280</v>
      </c>
      <c r="H7" s="24" t="s">
        <v>46</v>
      </c>
      <c r="I7" s="35">
        <v>36577.440000000002</v>
      </c>
      <c r="J7" s="24" t="s">
        <v>58</v>
      </c>
    </row>
    <row r="8" spans="1:10" ht="43.5" customHeight="1">
      <c r="A8" s="24" t="s">
        <v>59</v>
      </c>
      <c r="B8" s="24" t="s">
        <v>60</v>
      </c>
      <c r="C8" s="24" t="s">
        <v>61</v>
      </c>
      <c r="D8" s="24" t="s">
        <v>62</v>
      </c>
      <c r="E8" s="24" t="s">
        <v>63</v>
      </c>
      <c r="F8" s="34">
        <v>46275</v>
      </c>
      <c r="G8" s="34">
        <v>46283</v>
      </c>
      <c r="H8" s="24" t="s">
        <v>46</v>
      </c>
      <c r="I8" s="35">
        <v>24384.959999999999</v>
      </c>
      <c r="J8" s="24" t="s">
        <v>64</v>
      </c>
    </row>
    <row r="9" spans="1:10" ht="27.6" customHeight="1">
      <c r="A9" s="24" t="s">
        <v>65</v>
      </c>
      <c r="B9" s="24" t="s">
        <v>66</v>
      </c>
      <c r="C9" s="24" t="s">
        <v>67</v>
      </c>
      <c r="D9" s="24" t="s">
        <v>68</v>
      </c>
      <c r="E9" s="24" t="s">
        <v>69</v>
      </c>
      <c r="F9" s="34">
        <v>46281</v>
      </c>
      <c r="G9" s="34">
        <v>46295</v>
      </c>
      <c r="H9" s="24" t="s">
        <v>53</v>
      </c>
      <c r="I9" s="35">
        <v>67058.64</v>
      </c>
      <c r="J9" s="24" t="s">
        <v>70</v>
      </c>
    </row>
    <row r="10" spans="1:10" ht="39" customHeight="1">
      <c r="A10" s="24" t="s">
        <v>71</v>
      </c>
      <c r="B10" s="24" t="s">
        <v>63</v>
      </c>
      <c r="C10" s="24" t="s">
        <v>72</v>
      </c>
      <c r="D10" s="24" t="s">
        <v>73</v>
      </c>
      <c r="E10" s="24" t="s">
        <v>63</v>
      </c>
      <c r="F10" s="34">
        <v>46290</v>
      </c>
      <c r="G10" s="34">
        <v>46303</v>
      </c>
      <c r="H10" s="24" t="s">
        <v>74</v>
      </c>
      <c r="I10" s="35">
        <v>54866.16</v>
      </c>
      <c r="J10" s="24" t="s">
        <v>75</v>
      </c>
    </row>
    <row r="11" spans="1:10" ht="27.6" customHeight="1">
      <c r="A11" s="24" t="s">
        <v>76</v>
      </c>
      <c r="B11" s="24" t="s">
        <v>77</v>
      </c>
      <c r="C11" s="24" t="s">
        <v>78</v>
      </c>
      <c r="D11" s="24" t="s">
        <v>79</v>
      </c>
      <c r="E11" s="24" t="s">
        <v>80</v>
      </c>
      <c r="F11" s="34">
        <v>46296</v>
      </c>
      <c r="G11" s="34">
        <v>46307</v>
      </c>
      <c r="H11" s="24" t="s">
        <v>81</v>
      </c>
      <c r="I11" s="35">
        <v>30481.200000000001</v>
      </c>
      <c r="J11" s="24" t="s">
        <v>82</v>
      </c>
    </row>
    <row r="12" spans="1:10" ht="27.6" customHeight="1">
      <c r="A12" s="24" t="s">
        <v>83</v>
      </c>
      <c r="B12" s="24" t="s">
        <v>84</v>
      </c>
      <c r="C12" s="24" t="s">
        <v>85</v>
      </c>
      <c r="D12" s="24" t="s">
        <v>86</v>
      </c>
      <c r="E12" s="24" t="s">
        <v>87</v>
      </c>
      <c r="F12" s="34">
        <v>46303</v>
      </c>
      <c r="G12" s="34">
        <v>46315</v>
      </c>
      <c r="H12" s="24" t="s">
        <v>71</v>
      </c>
      <c r="I12" s="35">
        <v>36577.440000000002</v>
      </c>
      <c r="J12" s="24" t="s">
        <v>88</v>
      </c>
    </row>
    <row r="13" spans="1:10" ht="30" customHeight="1">
      <c r="A13" s="24" t="s">
        <v>89</v>
      </c>
      <c r="B13" s="24" t="s">
        <v>90</v>
      </c>
      <c r="C13" s="24" t="s">
        <v>91</v>
      </c>
      <c r="D13" s="24" t="s">
        <v>92</v>
      </c>
      <c r="E13" s="24" t="s">
        <v>50</v>
      </c>
      <c r="F13" s="34">
        <v>46313</v>
      </c>
      <c r="G13" s="34">
        <v>46320</v>
      </c>
      <c r="H13" s="24" t="s">
        <v>93</v>
      </c>
      <c r="I13" s="35">
        <v>18288.72</v>
      </c>
      <c r="J13" s="24" t="s">
        <v>94</v>
      </c>
    </row>
    <row r="14" spans="1:10" ht="27.6" customHeight="1">
      <c r="A14" s="24" t="s">
        <v>95</v>
      </c>
      <c r="B14" s="24" t="s">
        <v>96</v>
      </c>
      <c r="C14" s="24" t="s">
        <v>97</v>
      </c>
      <c r="D14" s="24" t="s">
        <v>98</v>
      </c>
      <c r="E14" s="24" t="s">
        <v>50</v>
      </c>
      <c r="F14" s="34">
        <v>46321</v>
      </c>
      <c r="G14" s="34">
        <v>46331</v>
      </c>
      <c r="H14" s="24" t="s">
        <v>89</v>
      </c>
      <c r="I14" s="35">
        <v>15240.6</v>
      </c>
      <c r="J14" s="24" t="s">
        <v>99</v>
      </c>
    </row>
    <row r="15" spans="1:10" ht="27.6" customHeight="1">
      <c r="A15" s="24" t="s">
        <v>100</v>
      </c>
      <c r="B15" s="24" t="s">
        <v>101</v>
      </c>
      <c r="C15" s="24" t="s">
        <v>102</v>
      </c>
      <c r="D15" s="24" t="s">
        <v>103</v>
      </c>
      <c r="E15" s="24" t="s">
        <v>50</v>
      </c>
      <c r="F15" s="34">
        <v>46393</v>
      </c>
      <c r="G15" s="34">
        <v>46424</v>
      </c>
      <c r="H15" s="24" t="s">
        <v>95</v>
      </c>
      <c r="I15" s="35">
        <v>15240.6</v>
      </c>
      <c r="J15" s="24" t="s">
        <v>104</v>
      </c>
    </row>
    <row r="16" spans="1:10" ht="13.7" customHeight="1">
      <c r="A16" s="24" t="s">
        <v>105</v>
      </c>
      <c r="B16" s="24" t="s">
        <v>106</v>
      </c>
      <c r="C16" s="24" t="s">
        <v>107</v>
      </c>
      <c r="D16" s="24" t="s">
        <v>108</v>
      </c>
      <c r="E16" s="24" t="s">
        <v>106</v>
      </c>
      <c r="F16" s="34">
        <v>46393</v>
      </c>
      <c r="G16" s="34">
        <v>48167</v>
      </c>
      <c r="H16" s="24" t="s">
        <v>100</v>
      </c>
      <c r="I16" s="35">
        <v>35000</v>
      </c>
      <c r="J16" s="24" t="s">
        <v>109</v>
      </c>
    </row>
    <row r="17" spans="1:10" ht="27.6" customHeight="1">
      <c r="A17" s="24" t="s">
        <v>110</v>
      </c>
      <c r="B17" s="24" t="s">
        <v>111</v>
      </c>
      <c r="C17" s="24" t="s">
        <v>112</v>
      </c>
      <c r="D17" s="24" t="s">
        <v>113</v>
      </c>
      <c r="E17" s="24" t="s">
        <v>111</v>
      </c>
      <c r="F17" s="34">
        <v>46393</v>
      </c>
      <c r="G17" s="34">
        <v>48167</v>
      </c>
      <c r="H17" s="24" t="s">
        <v>100</v>
      </c>
      <c r="I17" s="35">
        <v>15000</v>
      </c>
      <c r="J17" s="24" t="s">
        <v>109</v>
      </c>
    </row>
    <row r="18" spans="1:10" ht="13.7" customHeight="1">
      <c r="D18" s="6"/>
      <c r="E18" s="6"/>
      <c r="F18" s="6"/>
      <c r="G18" s="6"/>
      <c r="H18" s="6"/>
      <c r="I18" s="6"/>
      <c r="J18" s="6"/>
    </row>
    <row r="19" spans="1:10" ht="21.75" customHeight="1">
      <c r="A19" s="40" t="s">
        <v>114</v>
      </c>
      <c r="B19" s="57"/>
      <c r="C19" s="57"/>
      <c r="D19" s="57"/>
      <c r="E19" s="57"/>
      <c r="F19" s="57"/>
      <c r="G19" s="57"/>
      <c r="H19" s="57"/>
      <c r="I19" s="57"/>
      <c r="J19" s="57"/>
    </row>
    <row r="20" spans="1:10" ht="13.7" customHeight="1">
      <c r="A20" s="1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6"/>
      <c r="H20" s="6"/>
      <c r="I20" s="6"/>
      <c r="J20" s="6"/>
    </row>
    <row r="21" spans="1:10" ht="27.6" customHeight="1">
      <c r="A21" s="24" t="s">
        <v>121</v>
      </c>
      <c r="B21" s="24" t="s">
        <v>122</v>
      </c>
      <c r="C21" s="24">
        <v>1800</v>
      </c>
      <c r="D21" s="24">
        <v>1</v>
      </c>
      <c r="E21" s="24">
        <v>1800</v>
      </c>
      <c r="F21" s="24">
        <v>100</v>
      </c>
      <c r="G21" s="6"/>
      <c r="H21" s="6"/>
      <c r="I21" s="6"/>
      <c r="J21" s="6"/>
    </row>
    <row r="22" spans="1:10" ht="12.6" customHeight="1">
      <c r="A22" s="24" t="s">
        <v>123</v>
      </c>
      <c r="B22" s="24" t="s">
        <v>124</v>
      </c>
      <c r="C22" s="24">
        <v>5570</v>
      </c>
      <c r="D22" s="24">
        <v>1</v>
      </c>
      <c r="E22" s="24">
        <v>5570</v>
      </c>
      <c r="F22" s="24">
        <v>50</v>
      </c>
      <c r="G22" s="6"/>
      <c r="H22" s="6"/>
      <c r="I22" s="6"/>
      <c r="J22" s="6"/>
    </row>
    <row r="23" spans="1:10" ht="13.7" customHeight="1">
      <c r="A23" s="24" t="s">
        <v>125</v>
      </c>
      <c r="B23" s="24" t="s">
        <v>124</v>
      </c>
      <c r="C23" s="24">
        <v>500</v>
      </c>
      <c r="D23" s="24">
        <v>1</v>
      </c>
      <c r="E23" s="24">
        <v>500</v>
      </c>
      <c r="F23" s="24">
        <v>50</v>
      </c>
      <c r="G23" s="6"/>
      <c r="H23" s="6"/>
      <c r="I23" s="6"/>
      <c r="J23" s="6"/>
    </row>
    <row r="24" spans="1:10" ht="27.6" customHeight="1">
      <c r="A24" s="24" t="s">
        <v>126</v>
      </c>
      <c r="B24" s="24" t="s">
        <v>124</v>
      </c>
      <c r="C24" s="24">
        <v>1000</v>
      </c>
      <c r="D24" s="24">
        <v>1</v>
      </c>
      <c r="E24" s="24">
        <v>1000</v>
      </c>
      <c r="F24" s="24">
        <v>100</v>
      </c>
      <c r="G24" s="6"/>
      <c r="H24" s="6"/>
      <c r="I24" s="6"/>
      <c r="J24" s="6"/>
    </row>
    <row r="25" spans="1:10" ht="15.75" customHeight="1">
      <c r="D25" s="6"/>
      <c r="E25" s="6"/>
      <c r="F25" s="6"/>
      <c r="G25" s="6"/>
      <c r="H25" s="6"/>
      <c r="I25" s="6"/>
      <c r="J25" s="6"/>
    </row>
    <row r="26" spans="1:10" ht="21.75" customHeight="1">
      <c r="A26" s="40" t="s">
        <v>127</v>
      </c>
      <c r="B26" s="57"/>
      <c r="C26" s="57"/>
      <c r="D26" s="57"/>
      <c r="E26" s="57"/>
      <c r="F26" s="57"/>
      <c r="G26" s="57"/>
      <c r="H26" s="57"/>
      <c r="I26" s="57"/>
      <c r="J26" s="57"/>
    </row>
    <row r="27" spans="1:10" ht="55.35" customHeight="1">
      <c r="A27" s="23" t="s">
        <v>128</v>
      </c>
      <c r="B27" s="25" t="s">
        <v>129</v>
      </c>
      <c r="C27" s="23"/>
      <c r="D27" s="25" t="s">
        <v>130</v>
      </c>
      <c r="E27" s="23"/>
      <c r="F27" s="23"/>
      <c r="G27" s="23"/>
      <c r="H27" s="23"/>
      <c r="I27" s="23"/>
      <c r="J27" s="23"/>
    </row>
    <row r="28" spans="1:10" ht="41.45" customHeight="1">
      <c r="A28" s="23"/>
      <c r="B28" s="23"/>
      <c r="C28" s="23"/>
      <c r="D28" s="25" t="s">
        <v>131</v>
      </c>
      <c r="E28" s="23"/>
      <c r="F28" s="23"/>
      <c r="G28" s="23"/>
      <c r="H28" s="23"/>
      <c r="I28" s="23"/>
      <c r="J28" s="23"/>
    </row>
    <row r="29" spans="1:10" ht="15.75" customHeight="1">
      <c r="D29" s="6"/>
      <c r="E29" s="6"/>
      <c r="F29" s="6"/>
      <c r="G29" s="6"/>
      <c r="H29" s="6"/>
      <c r="I29" s="6"/>
      <c r="J29" s="6"/>
    </row>
    <row r="30" spans="1:10" ht="21.75" customHeight="1">
      <c r="A30" s="40" t="s">
        <v>132</v>
      </c>
      <c r="B30" s="57"/>
      <c r="C30" s="57"/>
      <c r="D30" s="57"/>
      <c r="E30" s="57"/>
      <c r="F30" s="57"/>
      <c r="G30" s="57"/>
      <c r="H30" s="57"/>
      <c r="I30" s="57"/>
      <c r="J30" s="57"/>
    </row>
    <row r="31" spans="1:10" ht="15.75" customHeight="1">
      <c r="A31" s="1" t="s">
        <v>133</v>
      </c>
      <c r="B31" s="1" t="s">
        <v>134</v>
      </c>
      <c r="C31" s="1" t="s">
        <v>135</v>
      </c>
      <c r="D31" s="1" t="s">
        <v>136</v>
      </c>
      <c r="E31" s="1" t="s">
        <v>137</v>
      </c>
      <c r="F31" s="6"/>
      <c r="G31" s="6"/>
      <c r="H31" s="6"/>
      <c r="I31" s="6"/>
      <c r="J31" s="6"/>
    </row>
    <row r="32" spans="1:10" ht="15.75" customHeight="1">
      <c r="A32" s="2" t="s">
        <v>138</v>
      </c>
      <c r="B32" s="7">
        <v>0.12</v>
      </c>
      <c r="C32" s="2" t="s">
        <v>139</v>
      </c>
      <c r="D32" s="6" t="s">
        <v>140</v>
      </c>
      <c r="E32" s="6" t="s">
        <v>141</v>
      </c>
      <c r="F32" s="6"/>
      <c r="G32" s="6"/>
      <c r="H32" s="6"/>
      <c r="I32" s="6"/>
      <c r="J32" s="6"/>
    </row>
    <row r="33" spans="1:10" ht="15.75" customHeight="1">
      <c r="A33" s="2" t="s">
        <v>142</v>
      </c>
      <c r="B33" s="7">
        <v>0</v>
      </c>
      <c r="C33" s="2" t="s">
        <v>143</v>
      </c>
      <c r="D33" s="6" t="s">
        <v>144</v>
      </c>
      <c r="E33" s="6" t="s">
        <v>145</v>
      </c>
      <c r="F33" s="6"/>
      <c r="G33" s="6"/>
      <c r="H33" s="6"/>
      <c r="I33" s="6"/>
      <c r="J33" s="6"/>
    </row>
    <row r="34" spans="1:10" ht="15.75" customHeight="1">
      <c r="A34" s="2" t="s">
        <v>146</v>
      </c>
      <c r="B34" s="7">
        <v>0.05</v>
      </c>
      <c r="C34" s="2" t="s">
        <v>139</v>
      </c>
      <c r="D34" s="6" t="s">
        <v>147</v>
      </c>
      <c r="E34" s="6" t="s">
        <v>145</v>
      </c>
      <c r="F34" s="6"/>
      <c r="G34" s="6"/>
      <c r="H34" s="6"/>
      <c r="I34" s="6"/>
      <c r="J34" s="6"/>
    </row>
    <row r="35" spans="1:10" ht="15.75" customHeight="1">
      <c r="A35" s="2" t="s">
        <v>148</v>
      </c>
      <c r="B35" s="3">
        <v>5</v>
      </c>
      <c r="C35" s="2" t="s">
        <v>149</v>
      </c>
      <c r="D35" s="6" t="s">
        <v>150</v>
      </c>
      <c r="E35" s="6" t="s">
        <v>151</v>
      </c>
      <c r="F35" s="6"/>
      <c r="G35" s="6"/>
      <c r="H35" s="6"/>
      <c r="I35" s="6"/>
      <c r="J35" s="6"/>
    </row>
    <row r="36" spans="1:10" ht="15.75" customHeight="1">
      <c r="A36" s="2" t="s">
        <v>152</v>
      </c>
      <c r="B36" s="7">
        <v>0.1</v>
      </c>
      <c r="C36" s="2" t="s">
        <v>153</v>
      </c>
      <c r="D36" s="6" t="s">
        <v>154</v>
      </c>
      <c r="E36" s="6" t="s">
        <v>145</v>
      </c>
      <c r="F36" s="6"/>
      <c r="G36" s="6"/>
      <c r="H36" s="6"/>
      <c r="I36" s="6"/>
      <c r="J36" s="6"/>
    </row>
    <row r="37" spans="1:10" ht="15.75" customHeight="1">
      <c r="D37" s="6"/>
      <c r="E37" s="6"/>
      <c r="F37" s="6"/>
      <c r="G37" s="6"/>
      <c r="H37" s="6"/>
      <c r="I37" s="6"/>
      <c r="J37" s="6"/>
    </row>
    <row r="38" spans="1:10" ht="21.75" customHeight="1">
      <c r="A38" s="40" t="s">
        <v>155</v>
      </c>
      <c r="B38" s="57"/>
      <c r="C38" s="57"/>
      <c r="D38" s="57"/>
      <c r="E38" s="57"/>
      <c r="F38" s="57"/>
      <c r="G38" s="57"/>
      <c r="H38" s="57"/>
      <c r="I38" s="57"/>
      <c r="J38" s="57"/>
    </row>
    <row r="39" spans="1:10" ht="15.75" customHeight="1">
      <c r="A39" s="1" t="s">
        <v>156</v>
      </c>
      <c r="B39" s="1" t="s">
        <v>157</v>
      </c>
      <c r="C39" s="1" t="s">
        <v>158</v>
      </c>
      <c r="D39" s="1" t="s">
        <v>159</v>
      </c>
      <c r="E39" s="1" t="s">
        <v>160</v>
      </c>
      <c r="F39" s="1" t="s">
        <v>161</v>
      </c>
      <c r="G39" s="6"/>
      <c r="H39" s="6"/>
      <c r="I39" s="6"/>
      <c r="J39" s="6"/>
    </row>
    <row r="40" spans="1:10" ht="55.35" customHeight="1">
      <c r="A40" s="25" t="s">
        <v>162</v>
      </c>
      <c r="B40" s="24" t="s">
        <v>163</v>
      </c>
      <c r="C40" s="24" t="s">
        <v>164</v>
      </c>
      <c r="D40" s="24" t="s">
        <v>165</v>
      </c>
      <c r="E40" s="24" t="s">
        <v>166</v>
      </c>
      <c r="F40" s="26" t="s">
        <v>167</v>
      </c>
      <c r="G40" s="6"/>
      <c r="H40" s="6"/>
      <c r="I40" s="6"/>
      <c r="J40" s="6"/>
    </row>
    <row r="41" spans="1:10" ht="69" customHeight="1">
      <c r="A41" s="25" t="s">
        <v>168</v>
      </c>
      <c r="B41" s="24" t="s">
        <v>169</v>
      </c>
      <c r="C41" s="24" t="s">
        <v>164</v>
      </c>
      <c r="D41" s="24" t="s">
        <v>170</v>
      </c>
      <c r="E41" s="24" t="s">
        <v>171</v>
      </c>
      <c r="F41" s="26" t="s">
        <v>172</v>
      </c>
      <c r="G41" s="6"/>
      <c r="H41" s="6"/>
      <c r="I41" s="6"/>
      <c r="J41" s="6"/>
    </row>
    <row r="42" spans="1:10" ht="69" customHeight="1">
      <c r="A42" s="25" t="s">
        <v>173</v>
      </c>
      <c r="B42" s="24" t="s">
        <v>174</v>
      </c>
      <c r="C42" s="24" t="s">
        <v>164</v>
      </c>
      <c r="D42" s="24" t="s">
        <v>175</v>
      </c>
      <c r="E42" s="24" t="s">
        <v>176</v>
      </c>
      <c r="F42" s="26" t="s">
        <v>177</v>
      </c>
      <c r="G42" s="6"/>
      <c r="H42" s="6"/>
      <c r="I42" s="6"/>
      <c r="J42" s="6"/>
    </row>
    <row r="43" spans="1:10" ht="15.75" customHeight="1">
      <c r="A43" s="4"/>
      <c r="B43" s="4"/>
      <c r="C43" s="24"/>
      <c r="D43" s="24"/>
      <c r="E43" s="4"/>
      <c r="F43" s="4"/>
      <c r="G43" s="6"/>
      <c r="H43" s="6"/>
      <c r="I43" s="6"/>
      <c r="J43" s="6"/>
    </row>
    <row r="44" spans="1:10" ht="15.75" customHeight="1">
      <c r="A44" s="4"/>
      <c r="B44" s="4"/>
      <c r="C44" s="4"/>
      <c r="D44" s="4"/>
      <c r="E44" s="4"/>
      <c r="F44" s="4"/>
      <c r="G44" s="6"/>
      <c r="H44" s="6"/>
      <c r="I44" s="6"/>
      <c r="J44" s="6"/>
    </row>
    <row r="45" spans="1:10" ht="15.75" customHeight="1">
      <c r="A45" s="4"/>
      <c r="B45" s="4"/>
      <c r="C45" s="4"/>
      <c r="D45" s="4"/>
      <c r="E45" s="4"/>
      <c r="F45" s="4"/>
      <c r="G45" s="6"/>
      <c r="H45" s="6"/>
      <c r="I45" s="6"/>
      <c r="J45" s="6"/>
    </row>
    <row r="46" spans="1:10" ht="15.75" customHeight="1">
      <c r="A46" s="4"/>
      <c r="B46" s="4"/>
      <c r="C46" s="4"/>
      <c r="D46" s="4"/>
      <c r="E46" s="4"/>
      <c r="F46" s="4"/>
      <c r="G46" s="6"/>
      <c r="H46" s="6"/>
      <c r="I46" s="6"/>
      <c r="J46" s="6"/>
    </row>
    <row r="47" spans="1:10" ht="15.75" customHeight="1">
      <c r="A47" s="4"/>
      <c r="B47" s="4"/>
      <c r="C47" s="4"/>
      <c r="D47" s="4"/>
      <c r="E47" s="4"/>
      <c r="F47" s="4"/>
      <c r="G47" s="6"/>
      <c r="H47" s="6"/>
      <c r="I47" s="6"/>
      <c r="J47" s="6"/>
    </row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J1"/>
    <mergeCell ref="A30:J30"/>
    <mergeCell ref="A4:J4"/>
    <mergeCell ref="A26:J26"/>
    <mergeCell ref="A38:J38"/>
    <mergeCell ref="A2:J2"/>
    <mergeCell ref="A19:J19"/>
  </mergeCells>
  <dataValidations count="2">
    <dataValidation type="list" allowBlank="1" sqref="E32:E36" xr:uid="{00000000-0002-0000-0100-000000000000}">
      <formula1>"Alta,Média,Baixa"</formula1>
    </dataValidation>
    <dataValidation type="list" allowBlank="1" sqref="B27" xr:uid="{00000000-0002-0000-0100-000001000000}">
      <formula1>"B2C,B2B,Assinatura,Freemium,Marketplace,Licenciamento,Outro"</formula1>
    </dataValidation>
  </dataValidations>
  <hyperlinks>
    <hyperlink ref="F40" r:id="rId1" xr:uid="{00000000-0004-0000-0100-000000000000}"/>
    <hyperlink ref="F41" r:id="rId2" xr:uid="{00000000-0004-0000-0100-000001000000}"/>
    <hyperlink ref="F42" r:id="rId3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2"/>
  <sheetViews>
    <sheetView zoomScale="86" workbookViewId="0">
      <selection activeCell="J17" sqref="J17"/>
    </sheetView>
  </sheetViews>
  <sheetFormatPr defaultColWidth="12.625" defaultRowHeight="15" customHeight="1"/>
  <cols>
    <col min="1" max="1" width="33.375" bestFit="1" customWidth="1"/>
    <col min="2" max="2" width="16.125" bestFit="1" customWidth="1"/>
    <col min="3" max="3" width="22" customWidth="1"/>
    <col min="4" max="4" width="16" customWidth="1"/>
    <col min="5" max="5" width="12" customWidth="1"/>
    <col min="6" max="6" width="13.5" customWidth="1"/>
    <col min="7" max="12" width="14" customWidth="1"/>
    <col min="13" max="26" width="8.625" customWidth="1"/>
  </cols>
  <sheetData>
    <row r="1" spans="1:12" ht="30" customHeight="1">
      <c r="A1" s="39" t="s">
        <v>178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21.75" customHeight="1">
      <c r="A2" s="38" t="s">
        <v>179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1:12" ht="21.75" customHeight="1">
      <c r="A4" s="40" t="s">
        <v>180</v>
      </c>
      <c r="B4" s="57"/>
      <c r="C4" s="57"/>
      <c r="D4" s="57"/>
      <c r="E4" s="57"/>
      <c r="F4" s="57"/>
      <c r="G4" s="57"/>
      <c r="H4" s="57"/>
    </row>
    <row r="5" spans="1:12" ht="13.7" customHeight="1">
      <c r="A5" s="1" t="s">
        <v>181</v>
      </c>
      <c r="B5" s="1" t="s">
        <v>182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183</v>
      </c>
    </row>
    <row r="6" spans="1:12" ht="13.7" customHeight="1">
      <c r="A6" s="2" t="s">
        <v>13</v>
      </c>
      <c r="B6" s="9">
        <f t="shared" ref="B6:G7" si="0">B10</f>
        <v>29495</v>
      </c>
      <c r="C6" s="9">
        <f t="shared" si="0"/>
        <v>0</v>
      </c>
      <c r="D6" s="9">
        <f t="shared" si="0"/>
        <v>0</v>
      </c>
      <c r="E6" s="9">
        <f t="shared" si="0"/>
        <v>34144.149375000001</v>
      </c>
      <c r="F6" s="9">
        <f t="shared" si="0"/>
        <v>0</v>
      </c>
      <c r="G6" s="9">
        <f t="shared" si="0"/>
        <v>0</v>
      </c>
      <c r="H6" s="9">
        <f t="shared" ref="H6:H11" si="1">SUM(B6:G6)</f>
        <v>63639.149375000001</v>
      </c>
    </row>
    <row r="7" spans="1:12" ht="13.7" customHeight="1">
      <c r="A7" s="2" t="s">
        <v>184</v>
      </c>
      <c r="B7" s="9">
        <f t="shared" si="0"/>
        <v>357792</v>
      </c>
      <c r="C7" s="9">
        <f t="shared" si="0"/>
        <v>526911.60000000009</v>
      </c>
      <c r="D7" s="9">
        <f t="shared" si="0"/>
        <v>538057.17999999993</v>
      </c>
      <c r="E7" s="9">
        <f t="shared" si="0"/>
        <v>564960.03899999999</v>
      </c>
      <c r="F7" s="9">
        <f t="shared" si="0"/>
        <v>593208.04095000017</v>
      </c>
      <c r="G7" s="9">
        <f t="shared" si="0"/>
        <v>622868.44299750007</v>
      </c>
      <c r="H7" s="9">
        <f t="shared" si="1"/>
        <v>3203797.3029475007</v>
      </c>
    </row>
    <row r="8" spans="1:12" ht="13.7" customHeight="1">
      <c r="A8" s="2" t="s">
        <v>185</v>
      </c>
      <c r="B8" s="9">
        <f t="shared" ref="B8:G8" si="2">SUMIF($C$15:$C$28,"Pessoal",G$15:G$28)</f>
        <v>304812</v>
      </c>
      <c r="C8" s="9">
        <f t="shared" si="2"/>
        <v>406332.60000000003</v>
      </c>
      <c r="D8" s="9">
        <f t="shared" si="2"/>
        <v>426649.23000000004</v>
      </c>
      <c r="E8" s="9">
        <f t="shared" si="2"/>
        <v>447981.69150000007</v>
      </c>
      <c r="F8" s="9">
        <f t="shared" si="2"/>
        <v>470380.77607500012</v>
      </c>
      <c r="G8" s="9">
        <f t="shared" si="2"/>
        <v>493899.81487875013</v>
      </c>
      <c r="H8" s="9">
        <f t="shared" si="1"/>
        <v>2550056.1124537503</v>
      </c>
    </row>
    <row r="9" spans="1:12" ht="13.7" customHeight="1">
      <c r="A9" s="2" t="s">
        <v>186</v>
      </c>
      <c r="B9" s="9">
        <f t="shared" ref="B9:G9" si="3">SUMIF($C$15:$C$28,"Serviços / Sustentação",G$15:G$28)</f>
        <v>0</v>
      </c>
      <c r="C9" s="9">
        <f t="shared" si="3"/>
        <v>0</v>
      </c>
      <c r="D9" s="9">
        <f t="shared" si="3"/>
        <v>0</v>
      </c>
      <c r="E9" s="9">
        <f t="shared" si="3"/>
        <v>0</v>
      </c>
      <c r="F9" s="9">
        <f t="shared" si="3"/>
        <v>0</v>
      </c>
      <c r="G9" s="9">
        <f t="shared" si="3"/>
        <v>0</v>
      </c>
      <c r="H9" s="9">
        <f t="shared" si="1"/>
        <v>0</v>
      </c>
    </row>
    <row r="10" spans="1:12" ht="13.7" customHeight="1">
      <c r="A10" s="2" t="s">
        <v>187</v>
      </c>
      <c r="B10" s="9">
        <f t="shared" ref="B10:G10" si="4">SUMIF($B$15:$B$28,"CAPEX",G$15:G$28)</f>
        <v>29495</v>
      </c>
      <c r="C10" s="9">
        <f t="shared" si="4"/>
        <v>0</v>
      </c>
      <c r="D10" s="9">
        <f t="shared" si="4"/>
        <v>0</v>
      </c>
      <c r="E10" s="9">
        <f t="shared" si="4"/>
        <v>34144.149375000001</v>
      </c>
      <c r="F10" s="9">
        <f t="shared" si="4"/>
        <v>0</v>
      </c>
      <c r="G10" s="9">
        <f t="shared" si="4"/>
        <v>0</v>
      </c>
      <c r="H10" s="9">
        <f t="shared" si="1"/>
        <v>63639.149375000001</v>
      </c>
    </row>
    <row r="11" spans="1:12" ht="13.7" customHeight="1">
      <c r="A11" s="2" t="s">
        <v>188</v>
      </c>
      <c r="B11" s="9">
        <f t="shared" ref="B11:G11" si="5">SUMIFS(G$15:G$28,$B$15:$B$28,"OPEX",$C$15:$C$28,"&lt;&gt;Depreciação")</f>
        <v>357792</v>
      </c>
      <c r="C11" s="9">
        <f t="shared" si="5"/>
        <v>526911.60000000009</v>
      </c>
      <c r="D11" s="9">
        <f t="shared" si="5"/>
        <v>538057.17999999993</v>
      </c>
      <c r="E11" s="9">
        <f t="shared" si="5"/>
        <v>564960.03899999999</v>
      </c>
      <c r="F11" s="9">
        <f t="shared" si="5"/>
        <v>593208.04095000017</v>
      </c>
      <c r="G11" s="9">
        <f t="shared" si="5"/>
        <v>622868.44299750007</v>
      </c>
      <c r="H11" s="9">
        <f t="shared" si="1"/>
        <v>3203797.3029475007</v>
      </c>
    </row>
    <row r="13" spans="1:12" ht="21.75" customHeight="1">
      <c r="A13" s="40" t="s">
        <v>189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ht="27.6" customHeight="1">
      <c r="A14" s="1" t="s">
        <v>190</v>
      </c>
      <c r="B14" s="1" t="s">
        <v>191</v>
      </c>
      <c r="C14" s="1" t="s">
        <v>192</v>
      </c>
      <c r="D14" s="1" t="s">
        <v>193</v>
      </c>
      <c r="E14" s="1" t="s">
        <v>135</v>
      </c>
      <c r="F14" s="1" t="s">
        <v>194</v>
      </c>
      <c r="G14" s="1" t="s">
        <v>182</v>
      </c>
      <c r="H14" s="1" t="s">
        <v>3</v>
      </c>
      <c r="I14" s="1" t="s">
        <v>4</v>
      </c>
      <c r="J14" s="1" t="s">
        <v>5</v>
      </c>
      <c r="K14" s="1" t="s">
        <v>6</v>
      </c>
      <c r="L14" s="1" t="s">
        <v>7</v>
      </c>
    </row>
    <row r="15" spans="1:12" ht="13.7" customHeight="1">
      <c r="A15" s="13" t="s">
        <v>195</v>
      </c>
      <c r="B15" s="13" t="s">
        <v>12</v>
      </c>
      <c r="C15" s="13" t="s">
        <v>185</v>
      </c>
      <c r="D15" s="13" t="s">
        <v>196</v>
      </c>
      <c r="E15" s="13" t="s">
        <v>197</v>
      </c>
      <c r="F15" s="28">
        <v>3</v>
      </c>
      <c r="G15" s="27">
        <v>304812</v>
      </c>
      <c r="H15" s="27">
        <f>G15*1.05</f>
        <v>320052.60000000003</v>
      </c>
      <c r="I15" s="27">
        <f>H15*1.05</f>
        <v>336055.23000000004</v>
      </c>
      <c r="J15" s="27">
        <f>I15*1.05</f>
        <v>352857.99150000006</v>
      </c>
      <c r="K15" s="27">
        <f>J15*1.05</f>
        <v>370500.89107500011</v>
      </c>
      <c r="L15" s="27">
        <f>K15*1.05</f>
        <v>389025.93562875013</v>
      </c>
    </row>
    <row r="16" spans="1:12" ht="13.7" customHeight="1">
      <c r="A16" s="13" t="s">
        <v>198</v>
      </c>
      <c r="B16" s="13" t="s">
        <v>12</v>
      </c>
      <c r="C16" s="13" t="s">
        <v>196</v>
      </c>
      <c r="D16" s="13" t="s">
        <v>199</v>
      </c>
      <c r="E16" s="13" t="s">
        <v>200</v>
      </c>
      <c r="F16" s="28">
        <v>2</v>
      </c>
      <c r="G16" s="27">
        <v>0</v>
      </c>
      <c r="H16" s="27">
        <v>4000</v>
      </c>
      <c r="I16" s="27">
        <v>1600</v>
      </c>
      <c r="J16" s="27">
        <f>I16*1.05</f>
        <v>1680</v>
      </c>
      <c r="K16" s="27">
        <f>J16*1.05</f>
        <v>1764</v>
      </c>
      <c r="L16" s="27">
        <f>K16*1.05</f>
        <v>1852.2</v>
      </c>
    </row>
    <row r="17" spans="1:12" ht="13.7" customHeight="1">
      <c r="A17" s="13" t="s">
        <v>201</v>
      </c>
      <c r="B17" s="13" t="s">
        <v>13</v>
      </c>
      <c r="C17" s="13" t="s">
        <v>202</v>
      </c>
      <c r="D17" s="13" t="s">
        <v>199</v>
      </c>
      <c r="E17" s="13" t="s">
        <v>203</v>
      </c>
      <c r="F17" s="28">
        <v>5</v>
      </c>
      <c r="G17" s="27">
        <v>29495</v>
      </c>
      <c r="H17" s="27">
        <v>0</v>
      </c>
      <c r="I17" s="27">
        <v>0</v>
      </c>
      <c r="J17" s="27">
        <f>G17*(1+'Detalhes do Projeto'!$B$34)^3</f>
        <v>34144.149375000001</v>
      </c>
      <c r="K17" s="27">
        <v>0</v>
      </c>
      <c r="L17" s="27">
        <v>0</v>
      </c>
    </row>
    <row r="18" spans="1:12" ht="15.75" customHeight="1">
      <c r="A18" s="13" t="s">
        <v>204</v>
      </c>
      <c r="B18" s="13" t="s">
        <v>12</v>
      </c>
      <c r="C18" s="13" t="s">
        <v>196</v>
      </c>
      <c r="D18" s="13" t="s">
        <v>205</v>
      </c>
      <c r="E18" s="13" t="s">
        <v>206</v>
      </c>
      <c r="F18" s="28">
        <v>12</v>
      </c>
      <c r="G18" s="27">
        <v>44640</v>
      </c>
      <c r="H18" s="27">
        <f t="shared" ref="H18:L20" si="6">G18*1.05</f>
        <v>46872</v>
      </c>
      <c r="I18" s="27">
        <f t="shared" si="6"/>
        <v>49215.6</v>
      </c>
      <c r="J18" s="27">
        <f t="shared" si="6"/>
        <v>51676.38</v>
      </c>
      <c r="K18" s="27">
        <f t="shared" si="6"/>
        <v>54260.199000000001</v>
      </c>
      <c r="L18" s="27">
        <f t="shared" si="6"/>
        <v>56973.20895</v>
      </c>
    </row>
    <row r="19" spans="1:12" ht="15.75" customHeight="1">
      <c r="A19" s="13" t="s">
        <v>207</v>
      </c>
      <c r="B19" s="13" t="s">
        <v>12</v>
      </c>
      <c r="C19" s="13" t="s">
        <v>196</v>
      </c>
      <c r="D19" s="13" t="s">
        <v>208</v>
      </c>
      <c r="E19" s="13" t="s">
        <v>209</v>
      </c>
      <c r="F19" s="28">
        <v>3</v>
      </c>
      <c r="G19" s="27">
        <v>3300</v>
      </c>
      <c r="H19" s="27">
        <f t="shared" si="6"/>
        <v>3465</v>
      </c>
      <c r="I19" s="27">
        <f t="shared" si="6"/>
        <v>3638.25</v>
      </c>
      <c r="J19" s="27">
        <f t="shared" si="6"/>
        <v>3820.1625000000004</v>
      </c>
      <c r="K19" s="27">
        <f t="shared" si="6"/>
        <v>4011.1706250000007</v>
      </c>
      <c r="L19" s="27">
        <f t="shared" si="6"/>
        <v>4211.7291562500004</v>
      </c>
    </row>
    <row r="20" spans="1:12" ht="15.75" customHeight="1">
      <c r="A20" s="13" t="s">
        <v>210</v>
      </c>
      <c r="B20" s="13" t="s">
        <v>12</v>
      </c>
      <c r="C20" s="13" t="s">
        <v>196</v>
      </c>
      <c r="D20" s="13" t="s">
        <v>196</v>
      </c>
      <c r="E20" s="13" t="s">
        <v>209</v>
      </c>
      <c r="F20" s="28">
        <v>1</v>
      </c>
      <c r="G20" s="27">
        <v>40</v>
      </c>
      <c r="H20" s="27">
        <f t="shared" si="6"/>
        <v>42</v>
      </c>
      <c r="I20" s="27">
        <f t="shared" si="6"/>
        <v>44.1</v>
      </c>
      <c r="J20" s="27">
        <f t="shared" si="6"/>
        <v>46.305000000000007</v>
      </c>
      <c r="K20" s="27">
        <f t="shared" si="6"/>
        <v>48.620250000000006</v>
      </c>
      <c r="L20" s="27">
        <f t="shared" si="6"/>
        <v>51.051262500000007</v>
      </c>
    </row>
    <row r="21" spans="1:12" ht="15.75" customHeight="1">
      <c r="A21" s="13" t="s">
        <v>211</v>
      </c>
      <c r="B21" s="13" t="s">
        <v>12</v>
      </c>
      <c r="C21" s="13" t="s">
        <v>196</v>
      </c>
      <c r="D21" s="13" t="s">
        <v>196</v>
      </c>
      <c r="E21" s="13" t="s">
        <v>212</v>
      </c>
      <c r="F21" s="28">
        <v>1</v>
      </c>
      <c r="G21" s="27">
        <v>0</v>
      </c>
      <c r="H21" s="27">
        <v>12000</v>
      </c>
      <c r="I21" s="27">
        <v>0</v>
      </c>
      <c r="J21" s="27">
        <v>0</v>
      </c>
      <c r="K21" s="27">
        <v>0</v>
      </c>
      <c r="L21" s="27">
        <v>0</v>
      </c>
    </row>
    <row r="22" spans="1:12" ht="15.75" customHeight="1">
      <c r="A22" s="13" t="s">
        <v>213</v>
      </c>
      <c r="B22" s="13" t="s">
        <v>12</v>
      </c>
      <c r="C22" s="13" t="s">
        <v>196</v>
      </c>
      <c r="D22" s="13" t="s">
        <v>196</v>
      </c>
      <c r="E22" s="13" t="s">
        <v>206</v>
      </c>
      <c r="F22" s="28">
        <v>12</v>
      </c>
      <c r="G22" s="27">
        <v>0</v>
      </c>
      <c r="H22" s="27">
        <f>3000*12</f>
        <v>36000</v>
      </c>
      <c r="I22" s="27">
        <f t="shared" ref="I22:L25" si="7">H22*1.05</f>
        <v>37800</v>
      </c>
      <c r="J22" s="27">
        <f t="shared" si="7"/>
        <v>39690</v>
      </c>
      <c r="K22" s="27">
        <f t="shared" si="7"/>
        <v>41674.5</v>
      </c>
      <c r="L22" s="27">
        <f t="shared" si="7"/>
        <v>43758.224999999999</v>
      </c>
    </row>
    <row r="23" spans="1:12" ht="15.75" customHeight="1">
      <c r="A23" s="13" t="s">
        <v>214</v>
      </c>
      <c r="B23" s="13" t="s">
        <v>12</v>
      </c>
      <c r="C23" s="13" t="s">
        <v>185</v>
      </c>
      <c r="D23" s="13" t="s">
        <v>196</v>
      </c>
      <c r="E23" s="13" t="s">
        <v>197</v>
      </c>
      <c r="F23" s="28">
        <v>2</v>
      </c>
      <c r="G23" s="27">
        <v>0</v>
      </c>
      <c r="H23" s="27">
        <v>86280</v>
      </c>
      <c r="I23" s="27">
        <f t="shared" si="7"/>
        <v>90594</v>
      </c>
      <c r="J23" s="27">
        <f t="shared" si="7"/>
        <v>95123.7</v>
      </c>
      <c r="K23" s="27">
        <f t="shared" si="7"/>
        <v>99879.884999999995</v>
      </c>
      <c r="L23" s="27">
        <f t="shared" si="7"/>
        <v>104873.87925</v>
      </c>
    </row>
    <row r="24" spans="1:12" ht="15.75" customHeight="1">
      <c r="A24" s="13" t="s">
        <v>215</v>
      </c>
      <c r="B24" s="13" t="s">
        <v>12</v>
      </c>
      <c r="C24" s="13" t="s">
        <v>196</v>
      </c>
      <c r="D24" s="13" t="s">
        <v>196</v>
      </c>
      <c r="E24" s="13" t="s">
        <v>206</v>
      </c>
      <c r="F24" s="28">
        <v>12</v>
      </c>
      <c r="G24" s="27">
        <v>0</v>
      </c>
      <c r="H24" s="27">
        <f>1000*12</f>
        <v>12000</v>
      </c>
      <c r="I24" s="27">
        <f t="shared" si="7"/>
        <v>12600</v>
      </c>
      <c r="J24" s="27">
        <f t="shared" si="7"/>
        <v>13230</v>
      </c>
      <c r="K24" s="27">
        <f t="shared" si="7"/>
        <v>13891.5</v>
      </c>
      <c r="L24" s="27">
        <f t="shared" si="7"/>
        <v>14586.075000000001</v>
      </c>
    </row>
    <row r="25" spans="1:12" ht="15.75" customHeight="1">
      <c r="A25" s="13" t="s">
        <v>216</v>
      </c>
      <c r="B25" s="13" t="s">
        <v>12</v>
      </c>
      <c r="C25" s="13" t="s">
        <v>196</v>
      </c>
      <c r="D25" s="13" t="s">
        <v>196</v>
      </c>
      <c r="E25" s="13" t="s">
        <v>206</v>
      </c>
      <c r="F25" s="28">
        <v>1</v>
      </c>
      <c r="G25" s="27">
        <v>0</v>
      </c>
      <c r="H25" s="27">
        <f>350*12</f>
        <v>4200</v>
      </c>
      <c r="I25" s="27">
        <f t="shared" si="7"/>
        <v>4410</v>
      </c>
      <c r="J25" s="27">
        <f t="shared" si="7"/>
        <v>4630.5</v>
      </c>
      <c r="K25" s="27">
        <f t="shared" si="7"/>
        <v>4862.0250000000005</v>
      </c>
      <c r="L25" s="27">
        <f t="shared" si="7"/>
        <v>5105.1262500000012</v>
      </c>
    </row>
    <row r="26" spans="1:12" ht="15.75" customHeight="1">
      <c r="A26" s="13" t="s">
        <v>217</v>
      </c>
      <c r="B26" s="13" t="s">
        <v>12</v>
      </c>
      <c r="C26" s="13" t="s">
        <v>218</v>
      </c>
      <c r="D26" s="13" t="s">
        <v>219</v>
      </c>
      <c r="E26" s="13" t="s">
        <v>206</v>
      </c>
      <c r="F26" s="28">
        <v>1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</row>
    <row r="27" spans="1:12" ht="15.75" customHeight="1">
      <c r="A27" s="13" t="s">
        <v>220</v>
      </c>
      <c r="B27" s="13" t="s">
        <v>12</v>
      </c>
      <c r="C27" s="13" t="s">
        <v>220</v>
      </c>
      <c r="D27" s="13" t="s">
        <v>221</v>
      </c>
      <c r="E27" s="13" t="s">
        <v>222</v>
      </c>
      <c r="F27" s="28">
        <v>1</v>
      </c>
      <c r="G27" s="27">
        <v>5000</v>
      </c>
      <c r="H27" s="27">
        <v>2000</v>
      </c>
      <c r="I27" s="27">
        <f>H27*1.05</f>
        <v>2100</v>
      </c>
      <c r="J27" s="27">
        <f>I27*1.05</f>
        <v>2205</v>
      </c>
      <c r="K27" s="27">
        <f>J27*1.05</f>
        <v>2315.25</v>
      </c>
      <c r="L27" s="27">
        <f>K27*1.05</f>
        <v>2431.0125000000003</v>
      </c>
    </row>
    <row r="28" spans="1:12" ht="15.75" customHeight="1">
      <c r="A28" s="13" t="s">
        <v>223</v>
      </c>
      <c r="B28" s="13" t="s">
        <v>224</v>
      </c>
      <c r="C28" s="13" t="s">
        <v>224</v>
      </c>
      <c r="D28" s="13" t="s">
        <v>224</v>
      </c>
      <c r="E28" s="13" t="s">
        <v>224</v>
      </c>
      <c r="F28" s="27" t="s">
        <v>224</v>
      </c>
      <c r="G28" s="27">
        <f t="shared" ref="G28:L28" si="8">SUM(G15:G27)</f>
        <v>387287</v>
      </c>
      <c r="H28" s="27">
        <f t="shared" si="8"/>
        <v>526911.60000000009</v>
      </c>
      <c r="I28" s="27">
        <f t="shared" si="8"/>
        <v>538057.17999999993</v>
      </c>
      <c r="J28" s="27">
        <f t="shared" si="8"/>
        <v>599104.18837500003</v>
      </c>
      <c r="K28" s="27">
        <f t="shared" si="8"/>
        <v>593208.04095000017</v>
      </c>
      <c r="L28" s="27">
        <f t="shared" si="8"/>
        <v>622868.44299750007</v>
      </c>
    </row>
    <row r="29" spans="1:12" ht="15.75" customHeight="1">
      <c r="A29" s="44" t="s">
        <v>225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1:12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</row>
    <row r="31" spans="1:12" ht="15.75" customHeight="1"/>
    <row r="32" spans="1:12" ht="15.75" customHeight="1"/>
    <row r="33" spans="1:11" ht="15.75" customHeight="1">
      <c r="A33" s="29" t="s">
        <v>190</v>
      </c>
      <c r="B33" s="30" t="s">
        <v>193</v>
      </c>
      <c r="C33" s="29" t="s">
        <v>194</v>
      </c>
      <c r="D33" s="29" t="s">
        <v>182</v>
      </c>
      <c r="E33" s="29" t="s">
        <v>226</v>
      </c>
      <c r="F33" s="45" t="s">
        <v>227</v>
      </c>
      <c r="G33" s="58"/>
      <c r="H33" s="58"/>
      <c r="I33" s="58"/>
      <c r="J33" s="58"/>
      <c r="K33" s="59"/>
    </row>
    <row r="34" spans="1:11" ht="47.45" customHeight="1">
      <c r="A34" s="36" t="s">
        <v>195</v>
      </c>
      <c r="B34" s="31" t="s">
        <v>196</v>
      </c>
      <c r="C34" s="32">
        <v>3</v>
      </c>
      <c r="D34" s="33">
        <v>304812</v>
      </c>
      <c r="E34" s="33">
        <v>8466.52</v>
      </c>
      <c r="F34" s="43" t="s">
        <v>228</v>
      </c>
      <c r="G34" s="58"/>
      <c r="H34" s="58"/>
      <c r="I34" s="58"/>
      <c r="J34" s="58"/>
      <c r="K34" s="59"/>
    </row>
    <row r="35" spans="1:11" ht="62.45" customHeight="1">
      <c r="A35" s="36" t="s">
        <v>198</v>
      </c>
      <c r="B35" s="31" t="s">
        <v>199</v>
      </c>
      <c r="C35" s="32">
        <v>2</v>
      </c>
      <c r="D35" s="33">
        <v>0</v>
      </c>
      <c r="E35" s="33">
        <v>2000</v>
      </c>
      <c r="F35" s="43" t="s">
        <v>229</v>
      </c>
      <c r="G35" s="58"/>
      <c r="H35" s="58"/>
      <c r="I35" s="58"/>
      <c r="J35" s="58"/>
      <c r="K35" s="59"/>
    </row>
    <row r="36" spans="1:11" ht="50.45" customHeight="1">
      <c r="A36" s="36" t="s">
        <v>201</v>
      </c>
      <c r="B36" s="31" t="s">
        <v>199</v>
      </c>
      <c r="C36" s="32">
        <v>5</v>
      </c>
      <c r="D36" s="33">
        <f>C36*E36</f>
        <v>29495</v>
      </c>
      <c r="E36" s="33">
        <v>5899</v>
      </c>
      <c r="F36" s="43" t="s">
        <v>230</v>
      </c>
      <c r="G36" s="58"/>
      <c r="H36" s="58"/>
      <c r="I36" s="58"/>
      <c r="J36" s="58"/>
      <c r="K36" s="59"/>
    </row>
    <row r="37" spans="1:11" ht="53.45" customHeight="1">
      <c r="A37" s="36" t="s">
        <v>204</v>
      </c>
      <c r="B37" s="31" t="s">
        <v>205</v>
      </c>
      <c r="C37" s="32">
        <v>12</v>
      </c>
      <c r="D37" s="33">
        <f>E37*12</f>
        <v>44640</v>
      </c>
      <c r="E37" s="33">
        <v>3720</v>
      </c>
      <c r="F37" s="43" t="s">
        <v>231</v>
      </c>
      <c r="G37" s="58"/>
      <c r="H37" s="58"/>
      <c r="I37" s="58"/>
      <c r="J37" s="58"/>
      <c r="K37" s="59"/>
    </row>
    <row r="38" spans="1:11" ht="50.1" customHeight="1">
      <c r="A38" s="36" t="s">
        <v>207</v>
      </c>
      <c r="B38" s="31" t="s">
        <v>208</v>
      </c>
      <c r="C38" s="32">
        <v>3</v>
      </c>
      <c r="D38" s="33">
        <f>E38*C38</f>
        <v>3300</v>
      </c>
      <c r="E38" s="33">
        <v>1100</v>
      </c>
      <c r="F38" s="43" t="s">
        <v>232</v>
      </c>
      <c r="G38" s="58"/>
      <c r="H38" s="58"/>
      <c r="I38" s="58"/>
      <c r="J38" s="58"/>
      <c r="K38" s="59"/>
    </row>
    <row r="39" spans="1:11" ht="49.5" customHeight="1">
      <c r="A39" s="36" t="s">
        <v>210</v>
      </c>
      <c r="B39" s="31" t="s">
        <v>196</v>
      </c>
      <c r="C39" s="32">
        <v>1</v>
      </c>
      <c r="D39" s="33">
        <v>40</v>
      </c>
      <c r="E39" s="33">
        <v>40</v>
      </c>
      <c r="F39" s="43" t="s">
        <v>233</v>
      </c>
      <c r="G39" s="58"/>
      <c r="H39" s="58"/>
      <c r="I39" s="58"/>
      <c r="J39" s="58"/>
      <c r="K39" s="59"/>
    </row>
    <row r="40" spans="1:11" ht="63.6" customHeight="1">
      <c r="A40" s="36" t="s">
        <v>211</v>
      </c>
      <c r="B40" s="31" t="s">
        <v>196</v>
      </c>
      <c r="C40" s="32">
        <v>1</v>
      </c>
      <c r="D40" s="33">
        <v>12000</v>
      </c>
      <c r="E40" s="33">
        <v>12000</v>
      </c>
      <c r="F40" s="43" t="s">
        <v>234</v>
      </c>
      <c r="G40" s="58"/>
      <c r="H40" s="58"/>
      <c r="I40" s="58"/>
      <c r="J40" s="58"/>
      <c r="K40" s="59"/>
    </row>
    <row r="41" spans="1:11" ht="82.5" customHeight="1">
      <c r="A41" s="36" t="s">
        <v>213</v>
      </c>
      <c r="B41" s="31" t="s">
        <v>196</v>
      </c>
      <c r="C41" s="32">
        <v>12</v>
      </c>
      <c r="D41" s="33">
        <v>0</v>
      </c>
      <c r="E41" s="33">
        <v>3000</v>
      </c>
      <c r="F41" s="43" t="s">
        <v>235</v>
      </c>
      <c r="G41" s="58"/>
      <c r="H41" s="58"/>
      <c r="I41" s="58"/>
      <c r="J41" s="58"/>
      <c r="K41" s="59"/>
    </row>
    <row r="42" spans="1:11" ht="54.95" customHeight="1">
      <c r="A42" s="36" t="s">
        <v>214</v>
      </c>
      <c r="B42" s="31" t="s">
        <v>196</v>
      </c>
      <c r="C42" s="32">
        <v>2</v>
      </c>
      <c r="D42" s="33" t="s">
        <v>51</v>
      </c>
      <c r="E42" s="33">
        <v>3595</v>
      </c>
      <c r="F42" s="43" t="s">
        <v>236</v>
      </c>
      <c r="G42" s="58"/>
      <c r="H42" s="58"/>
      <c r="I42" s="58"/>
      <c r="J42" s="58"/>
      <c r="K42" s="59"/>
    </row>
    <row r="43" spans="1:11" ht="80.45" customHeight="1">
      <c r="A43" s="36" t="s">
        <v>215</v>
      </c>
      <c r="B43" s="31" t="s">
        <v>237</v>
      </c>
      <c r="C43" s="32">
        <v>12</v>
      </c>
      <c r="D43" s="33"/>
      <c r="E43" s="33">
        <v>1000</v>
      </c>
      <c r="F43" s="43" t="s">
        <v>238</v>
      </c>
      <c r="G43" s="58"/>
      <c r="H43" s="58"/>
      <c r="I43" s="58"/>
      <c r="J43" s="58"/>
      <c r="K43" s="59"/>
    </row>
    <row r="44" spans="1:11" ht="28.35" customHeight="1">
      <c r="A44" s="31" t="s">
        <v>216</v>
      </c>
      <c r="B44" s="31" t="s">
        <v>196</v>
      </c>
      <c r="C44" s="32">
        <v>1</v>
      </c>
      <c r="D44" s="33">
        <v>0</v>
      </c>
      <c r="E44" s="33">
        <v>350</v>
      </c>
      <c r="F44" s="43" t="s">
        <v>239</v>
      </c>
      <c r="G44" s="58"/>
      <c r="H44" s="58"/>
      <c r="I44" s="58"/>
      <c r="J44" s="58"/>
      <c r="K44" s="59"/>
    </row>
    <row r="45" spans="1:11" ht="27.6" customHeight="1">
      <c r="A45" s="31" t="s">
        <v>217</v>
      </c>
      <c r="B45" s="31" t="s">
        <v>219</v>
      </c>
      <c r="C45" s="32">
        <v>1</v>
      </c>
      <c r="D45" s="33">
        <v>0</v>
      </c>
      <c r="E45" s="33">
        <v>0</v>
      </c>
      <c r="F45" s="43" t="s">
        <v>240</v>
      </c>
      <c r="G45" s="58"/>
      <c r="H45" s="58"/>
      <c r="I45" s="58"/>
      <c r="J45" s="58"/>
      <c r="K45" s="59"/>
    </row>
    <row r="46" spans="1:11" ht="30.6" customHeight="1">
      <c r="A46" s="31" t="s">
        <v>220</v>
      </c>
      <c r="B46" s="31" t="s">
        <v>221</v>
      </c>
      <c r="C46" s="32">
        <v>1</v>
      </c>
      <c r="D46" s="33">
        <v>30000</v>
      </c>
      <c r="E46" s="33">
        <f>D46/12</f>
        <v>2500</v>
      </c>
      <c r="F46" s="43" t="s">
        <v>241</v>
      </c>
      <c r="G46" s="58"/>
      <c r="H46" s="58"/>
      <c r="I46" s="58"/>
      <c r="J46" s="58"/>
      <c r="K46" s="59"/>
    </row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9">
    <mergeCell ref="F46:K46"/>
    <mergeCell ref="F43:K43"/>
    <mergeCell ref="F37:K37"/>
    <mergeCell ref="F39:K39"/>
    <mergeCell ref="A13:L13"/>
    <mergeCell ref="F44:K44"/>
    <mergeCell ref="F34:K34"/>
    <mergeCell ref="A29:L30"/>
    <mergeCell ref="F33:K33"/>
    <mergeCell ref="F36:K36"/>
    <mergeCell ref="F42:K42"/>
    <mergeCell ref="F45:K45"/>
    <mergeCell ref="F41:K41"/>
    <mergeCell ref="F35:K35"/>
    <mergeCell ref="A1:L1"/>
    <mergeCell ref="F40:K40"/>
    <mergeCell ref="A2:L2"/>
    <mergeCell ref="F38:K38"/>
    <mergeCell ref="A4:H4"/>
  </mergeCells>
  <dataValidations count="2">
    <dataValidation type="list" allowBlank="1" sqref="B34:B46 D15:D28" xr:uid="{00000000-0002-0000-0200-000000000000}">
      <formula1>"Compra,Aluguel,Assinatura,Serviço,Rateio,Taxa,Reserva,Contábil,Outro"</formula1>
    </dataValidation>
    <dataValidation type="list" allowBlank="1" sqref="B15:B28" xr:uid="{00000000-0002-0000-0200-000001000000}">
      <formula1>"CAPEX,OPEX"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topLeftCell="A3" workbookViewId="0">
      <selection activeCell="F8" sqref="F8"/>
    </sheetView>
  </sheetViews>
  <sheetFormatPr defaultColWidth="12.625" defaultRowHeight="15" customHeight="1"/>
  <cols>
    <col min="1" max="1" width="30" customWidth="1"/>
    <col min="2" max="2" width="18" customWidth="1"/>
    <col min="3" max="3" width="15" customWidth="1"/>
    <col min="4" max="4" width="11.5" bestFit="1" customWidth="1"/>
    <col min="5" max="7" width="15" customWidth="1"/>
    <col min="8" max="26" width="8.625" customWidth="1"/>
  </cols>
  <sheetData>
    <row r="1" spans="1:7" ht="30" customHeight="1">
      <c r="A1" s="39" t="s">
        <v>242</v>
      </c>
      <c r="B1" s="57"/>
      <c r="C1" s="57"/>
      <c r="D1" s="57"/>
      <c r="E1" s="57"/>
      <c r="F1" s="57"/>
      <c r="G1" s="57"/>
    </row>
    <row r="2" spans="1:7" ht="21.75" customHeight="1">
      <c r="A2" s="38" t="s">
        <v>243</v>
      </c>
      <c r="B2" s="57"/>
      <c r="C2" s="57"/>
      <c r="D2" s="57"/>
      <c r="E2" s="57"/>
      <c r="F2" s="57"/>
      <c r="G2" s="57"/>
    </row>
    <row r="4" spans="1:7" ht="21.75" customHeight="1">
      <c r="A4" s="40" t="s">
        <v>244</v>
      </c>
      <c r="B4" s="57"/>
      <c r="C4" s="57"/>
      <c r="D4" s="57"/>
      <c r="E4" s="57"/>
      <c r="F4" s="57"/>
      <c r="G4" s="57"/>
    </row>
    <row r="5" spans="1:7" ht="13.7" customHeight="1">
      <c r="A5" s="1" t="s">
        <v>2</v>
      </c>
      <c r="B5" s="1" t="s">
        <v>135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7" ht="13.7" customHeight="1">
      <c r="A6" s="2" t="s">
        <v>245</v>
      </c>
      <c r="B6" s="2" t="s">
        <v>246</v>
      </c>
      <c r="C6" s="55">
        <v>1</v>
      </c>
      <c r="D6" s="56">
        <f>SUM(C6:C7)</f>
        <v>4</v>
      </c>
      <c r="E6" s="56">
        <f>SUM(D6:D7)</f>
        <v>8</v>
      </c>
      <c r="F6" s="56">
        <f>SUM(E6:E7)</f>
        <v>14</v>
      </c>
      <c r="G6" s="56">
        <f>SUM(F6:F7)</f>
        <v>22</v>
      </c>
    </row>
    <row r="7" spans="1:7" ht="13.7" customHeight="1">
      <c r="A7" s="2" t="s">
        <v>247</v>
      </c>
      <c r="B7" s="2" t="s">
        <v>246</v>
      </c>
      <c r="C7" s="55">
        <v>3</v>
      </c>
      <c r="D7" s="56">
        <v>4</v>
      </c>
      <c r="E7" s="56">
        <v>6</v>
      </c>
      <c r="F7" s="56">
        <v>8</v>
      </c>
      <c r="G7" s="56">
        <v>10</v>
      </c>
    </row>
    <row r="8" spans="1:7" ht="13.7" customHeight="1">
      <c r="A8" s="2" t="s">
        <v>248</v>
      </c>
      <c r="B8" s="2" t="s">
        <v>139</v>
      </c>
      <c r="C8" s="48">
        <v>0</v>
      </c>
      <c r="D8" s="54">
        <f>(D7-C7)/C7</f>
        <v>0.33333333333333331</v>
      </c>
      <c r="E8" s="54">
        <f>(E7-D7)/D7</f>
        <v>0.5</v>
      </c>
      <c r="F8" s="54">
        <f>(F7-E7)/E7</f>
        <v>0.33333333333333331</v>
      </c>
      <c r="G8" s="54">
        <f>(G7-F7)/F7</f>
        <v>0.25</v>
      </c>
    </row>
    <row r="9" spans="1:7" ht="13.7" customHeight="1">
      <c r="A9" s="2" t="s">
        <v>249</v>
      </c>
      <c r="B9" s="2" t="s">
        <v>139</v>
      </c>
      <c r="C9" s="48">
        <v>0.1</v>
      </c>
      <c r="D9" s="48">
        <v>0.1</v>
      </c>
      <c r="E9" s="48">
        <v>0.1</v>
      </c>
      <c r="F9" s="48">
        <v>0.1</v>
      </c>
      <c r="G9" s="48">
        <v>0.1</v>
      </c>
    </row>
    <row r="10" spans="1:7" ht="13.7" customHeight="1">
      <c r="A10" s="2" t="s">
        <v>250</v>
      </c>
      <c r="B10" s="2" t="s">
        <v>246</v>
      </c>
      <c r="C10" s="49">
        <f>C6*(1-C9)+C7</f>
        <v>3.9</v>
      </c>
      <c r="D10" s="49">
        <f>D6*(1-D9)+D7</f>
        <v>7.6</v>
      </c>
      <c r="E10" s="49">
        <f>E6*(1-E9)+E7</f>
        <v>13.2</v>
      </c>
      <c r="F10" s="49">
        <f>F6*(1-F9)+F7</f>
        <v>20.6</v>
      </c>
      <c r="G10" s="49">
        <f>G6*(1-G9)+G7</f>
        <v>29.8</v>
      </c>
    </row>
    <row r="11" spans="1:7" ht="13.7" customHeight="1">
      <c r="A11" s="2" t="s">
        <v>251</v>
      </c>
      <c r="B11" s="2" t="s">
        <v>252</v>
      </c>
      <c r="C11" s="48">
        <v>0.8</v>
      </c>
      <c r="D11" s="48">
        <v>0.85</v>
      </c>
      <c r="E11" s="48">
        <v>0.9</v>
      </c>
      <c r="F11" s="48">
        <v>0.95</v>
      </c>
      <c r="G11" s="48">
        <v>0.95</v>
      </c>
    </row>
    <row r="12" spans="1:7" ht="13.7" customHeight="1">
      <c r="A12" s="2" t="s">
        <v>253</v>
      </c>
      <c r="B12" s="2" t="s">
        <v>254</v>
      </c>
      <c r="C12" s="49">
        <f>C10*C11</f>
        <v>3.12</v>
      </c>
      <c r="D12" s="49">
        <f>D10*D11</f>
        <v>6.46</v>
      </c>
      <c r="E12" s="49">
        <f>E10*E11</f>
        <v>11.879999999999999</v>
      </c>
      <c r="F12" s="49">
        <f>F10*F11</f>
        <v>19.57</v>
      </c>
      <c r="G12" s="49">
        <f>G10*G11</f>
        <v>28.31</v>
      </c>
    </row>
    <row r="13" spans="1:7" ht="13.7" customHeight="1">
      <c r="A13" s="2" t="s">
        <v>255</v>
      </c>
      <c r="B13" s="2" t="s">
        <v>256</v>
      </c>
      <c r="C13" s="50">
        <v>10000</v>
      </c>
      <c r="D13" s="50">
        <v>10500</v>
      </c>
      <c r="E13" s="50">
        <v>11025</v>
      </c>
      <c r="F13" s="50">
        <v>11576.25</v>
      </c>
      <c r="G13" s="50">
        <v>12155.06</v>
      </c>
    </row>
    <row r="14" spans="1:7" ht="13.7" customHeight="1">
      <c r="A14" s="2" t="s">
        <v>257</v>
      </c>
      <c r="B14" s="2" t="s">
        <v>258</v>
      </c>
      <c r="C14" s="51">
        <v>1</v>
      </c>
      <c r="D14" s="51">
        <v>1</v>
      </c>
      <c r="E14" s="51">
        <v>1</v>
      </c>
      <c r="F14" s="51">
        <v>1</v>
      </c>
      <c r="G14" s="51">
        <v>1</v>
      </c>
    </row>
    <row r="15" spans="1:7" ht="13.7" customHeight="1">
      <c r="A15" s="2" t="s">
        <v>259</v>
      </c>
      <c r="B15" s="2" t="s">
        <v>260</v>
      </c>
      <c r="C15" s="9">
        <f>C12*C13*12*C14</f>
        <v>374400</v>
      </c>
      <c r="D15" s="9">
        <f>D12*D13*12*D14</f>
        <v>813960</v>
      </c>
      <c r="E15" s="9">
        <f>E12*E13*12*E14</f>
        <v>1571723.9999999998</v>
      </c>
      <c r="F15" s="9">
        <f>F12*F13*12*F14</f>
        <v>2718566.55</v>
      </c>
      <c r="G15" s="9">
        <f>G12*G13*12*G14</f>
        <v>4129316.9831999997</v>
      </c>
    </row>
    <row r="16" spans="1:7" ht="13.7" customHeight="1">
      <c r="A16" s="2" t="s">
        <v>261</v>
      </c>
      <c r="B16" s="2" t="s">
        <v>260</v>
      </c>
      <c r="C16" s="52">
        <f>SUM('Resumo Investimentos'!H21:H22)</f>
        <v>48000</v>
      </c>
      <c r="D16" s="52">
        <f>SUM('Resumo Investimentos'!I21:I22)</f>
        <v>37800</v>
      </c>
      <c r="E16" s="52">
        <f>SUM('Resumo Investimentos'!J21:J22)</f>
        <v>39690</v>
      </c>
      <c r="F16" s="52">
        <f>SUM('Resumo Investimentos'!K21:K22)</f>
        <v>41674.5</v>
      </c>
      <c r="G16" s="52">
        <f>SUM('Resumo Investimentos'!L21:L22)</f>
        <v>43758.224999999999</v>
      </c>
    </row>
    <row r="17" spans="1:7" ht="13.7" customHeight="1">
      <c r="A17" s="2" t="s">
        <v>262</v>
      </c>
      <c r="B17" s="2" t="s">
        <v>263</v>
      </c>
      <c r="C17" s="53">
        <f>IF(C7=0,0,C16/C7)</f>
        <v>16000</v>
      </c>
      <c r="D17" s="53">
        <f>IF(D7=0,0,D16/D7)</f>
        <v>9450</v>
      </c>
      <c r="E17" s="53">
        <f>IF(E7=0,0,E16/E7)</f>
        <v>6615</v>
      </c>
      <c r="F17" s="53">
        <f>IF(F7=0,0,F16/F7)</f>
        <v>5209.3125</v>
      </c>
      <c r="G17" s="53">
        <f>IF(G7=0,0,G16/G7)</f>
        <v>4375.8225000000002</v>
      </c>
    </row>
    <row r="19" spans="1:7" ht="21.75" customHeight="1">
      <c r="A19" s="37" t="s">
        <v>264</v>
      </c>
      <c r="B19" s="57"/>
      <c r="C19" s="57"/>
      <c r="D19" s="57"/>
      <c r="E19" s="57"/>
      <c r="F19" s="57"/>
      <c r="G19" s="57"/>
    </row>
    <row r="20" spans="1:7" ht="13.7" customHeight="1">
      <c r="A20" s="2" t="s">
        <v>265</v>
      </c>
      <c r="B20" s="2" t="s">
        <v>260</v>
      </c>
      <c r="C20" s="9">
        <f>C15</f>
        <v>374400</v>
      </c>
      <c r="D20" s="9">
        <f>D15</f>
        <v>813960</v>
      </c>
      <c r="E20" s="9">
        <f>E15</f>
        <v>1571723.9999999998</v>
      </c>
      <c r="F20" s="9">
        <f>F15</f>
        <v>2718566.55</v>
      </c>
      <c r="G20" s="9">
        <f>G15</f>
        <v>4129316.9831999997</v>
      </c>
    </row>
    <row r="21" spans="1:7" ht="15.75" customHeight="1">
      <c r="A21" s="2" t="s">
        <v>26</v>
      </c>
      <c r="C21" s="9"/>
      <c r="D21" s="9"/>
      <c r="E21" s="9"/>
      <c r="F21" s="9"/>
      <c r="G21" s="9">
        <f>SUM(C20:G20)</f>
        <v>9607967.5331999995</v>
      </c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9:G19"/>
    <mergeCell ref="A2:G2"/>
    <mergeCell ref="A1:G1"/>
    <mergeCell ref="A4:G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sqref="A1:G1"/>
    </sheetView>
  </sheetViews>
  <sheetFormatPr defaultColWidth="12.625" defaultRowHeight="15" customHeight="1"/>
  <cols>
    <col min="1" max="1" width="34" customWidth="1"/>
    <col min="2" max="7" width="15" customWidth="1"/>
    <col min="8" max="26" width="8.625" customWidth="1"/>
  </cols>
  <sheetData>
    <row r="1" spans="1:7" ht="30" customHeight="1">
      <c r="A1" s="39" t="s">
        <v>266</v>
      </c>
      <c r="B1" s="57"/>
      <c r="C1" s="57"/>
      <c r="D1" s="57"/>
      <c r="E1" s="57"/>
      <c r="F1" s="57"/>
      <c r="G1" s="57"/>
    </row>
    <row r="2" spans="1:7" ht="21.75" customHeight="1">
      <c r="A2" s="38" t="s">
        <v>267</v>
      </c>
      <c r="B2" s="57"/>
      <c r="C2" s="57"/>
      <c r="D2" s="57"/>
      <c r="E2" s="57"/>
      <c r="F2" s="57"/>
      <c r="G2" s="57"/>
    </row>
    <row r="4" spans="1:7" ht="21.75" customHeight="1">
      <c r="A4" s="40" t="s">
        <v>268</v>
      </c>
      <c r="B4" s="57"/>
      <c r="C4" s="57"/>
      <c r="D4" s="57"/>
      <c r="E4" s="57"/>
      <c r="F4" s="57"/>
      <c r="G4" s="57"/>
    </row>
    <row r="5" spans="1:7" ht="13.7" customHeight="1">
      <c r="A5" s="1" t="s">
        <v>269</v>
      </c>
      <c r="B5" s="1" t="s">
        <v>182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7" ht="13.7" customHeight="1">
      <c r="A6" s="2" t="s">
        <v>270</v>
      </c>
      <c r="B6" s="12">
        <v>0</v>
      </c>
      <c r="C6" s="12">
        <f>'Projeção Receitas'!C20</f>
        <v>374400</v>
      </c>
      <c r="D6" s="12">
        <f>'Projeção Receitas'!D20</f>
        <v>813960</v>
      </c>
      <c r="E6" s="12">
        <f>'Projeção Receitas'!E20</f>
        <v>1571723.9999999998</v>
      </c>
      <c r="F6" s="12">
        <f>'Projeção Receitas'!F20</f>
        <v>2718566.55</v>
      </c>
      <c r="G6" s="12">
        <f>'Projeção Receitas'!G20</f>
        <v>4129316.9831999997</v>
      </c>
    </row>
    <row r="7" spans="1:7" ht="13.7" customHeight="1">
      <c r="A7" s="2" t="s">
        <v>271</v>
      </c>
      <c r="B7" s="12">
        <f>'Resumo Investimentos'!B11</f>
        <v>357792</v>
      </c>
      <c r="C7" s="12">
        <f>'Resumo Investimentos'!C11</f>
        <v>526911.60000000009</v>
      </c>
      <c r="D7" s="12">
        <f>'Resumo Investimentos'!D11</f>
        <v>538057.17999999993</v>
      </c>
      <c r="E7" s="12">
        <f>'Resumo Investimentos'!E11</f>
        <v>564960.03899999999</v>
      </c>
      <c r="F7" s="12">
        <f>'Resumo Investimentos'!F11</f>
        <v>593208.04095000017</v>
      </c>
      <c r="G7" s="12">
        <f>'Resumo Investimentos'!G11</f>
        <v>622868.44299750007</v>
      </c>
    </row>
    <row r="8" spans="1:7" ht="13.7" customHeight="1">
      <c r="A8" s="2" t="s">
        <v>272</v>
      </c>
      <c r="B8" s="9">
        <f t="shared" ref="B8:G8" si="0">B6-B7</f>
        <v>-357792</v>
      </c>
      <c r="C8" s="9">
        <f t="shared" si="0"/>
        <v>-152511.60000000009</v>
      </c>
      <c r="D8" s="9">
        <f t="shared" si="0"/>
        <v>275902.82000000007</v>
      </c>
      <c r="E8" s="9">
        <f t="shared" si="0"/>
        <v>1006763.9609999998</v>
      </c>
      <c r="F8" s="9">
        <f t="shared" si="0"/>
        <v>2125358.5090499995</v>
      </c>
      <c r="G8" s="9">
        <f t="shared" si="0"/>
        <v>3506448.5402024994</v>
      </c>
    </row>
    <row r="9" spans="1:7" ht="13.7" customHeight="1">
      <c r="A9" s="2" t="s">
        <v>273</v>
      </c>
      <c r="B9" s="9">
        <f>IF((B8-B11)&gt;0,(B8-B11)*'Detalhes do Projeto'!$B$33,0)</f>
        <v>0</v>
      </c>
      <c r="C9" s="9">
        <f>IF((C8-C11)&gt;0,(C8-C11)*'Detalhes do Projeto'!$B$33,0)</f>
        <v>0</v>
      </c>
      <c r="D9" s="9">
        <f>IF((D8-D11)&gt;0,(D8-D11)*'Detalhes do Projeto'!$B$33,0)</f>
        <v>0</v>
      </c>
      <c r="E9" s="9">
        <f>IF((E8-E11)&gt;0,(E8-E11)*'Detalhes do Projeto'!$B$33,0)</f>
        <v>0</v>
      </c>
      <c r="F9" s="9">
        <f>IF((F8-F11)&gt;0,(F8-F11)*'Detalhes do Projeto'!$B$33,0)</f>
        <v>0</v>
      </c>
      <c r="G9" s="9">
        <f>IF((G8-G11)&gt;0,(G8-G11)*'Detalhes do Projeto'!$B$33,0)</f>
        <v>0</v>
      </c>
    </row>
    <row r="10" spans="1:7" ht="13.7" customHeight="1">
      <c r="A10" s="2" t="s">
        <v>13</v>
      </c>
      <c r="B10" s="12">
        <f>'Resumo Investimentos'!B10</f>
        <v>29495</v>
      </c>
      <c r="C10" s="12">
        <f>'Resumo Investimentos'!C10</f>
        <v>0</v>
      </c>
      <c r="D10" s="12">
        <f>'Resumo Investimentos'!D10</f>
        <v>0</v>
      </c>
      <c r="E10" s="12">
        <f>'Resumo Investimentos'!E10</f>
        <v>34144.149375000001</v>
      </c>
      <c r="F10" s="12">
        <f>'Resumo Investimentos'!F10</f>
        <v>0</v>
      </c>
      <c r="G10" s="12">
        <f>'Resumo Investimentos'!G10</f>
        <v>0</v>
      </c>
    </row>
    <row r="11" spans="1:7" ht="13.7" customHeight="1">
      <c r="A11" s="2" t="s">
        <v>274</v>
      </c>
      <c r="B11" s="12">
        <f>SUMIF('Resumo Investimentos'!$C$15:$C$28,"Depreciação",'Resumo Investimentos'!$G$15:$G$28)</f>
        <v>0</v>
      </c>
      <c r="C11" s="12">
        <f>SUMIF('Resumo Investimentos'!$C$15:$C$28,"Depreciação",'Resumo Investimentos'!$H$15:$H$28)</f>
        <v>0</v>
      </c>
      <c r="D11" s="12">
        <f>SUMIF('Resumo Investimentos'!$C$15:$C$28,"Depreciação",'Resumo Investimentos'!$I$15:$I$28)</f>
        <v>0</v>
      </c>
      <c r="E11" s="12">
        <f>SUMIF('Resumo Investimentos'!$C$15:$C$28,"Depreciação",'Resumo Investimentos'!$J$15:$J$28)</f>
        <v>0</v>
      </c>
      <c r="F11" s="12">
        <f>SUMIF('Resumo Investimentos'!$C$15:$C$28,"Depreciação",'Resumo Investimentos'!$K$15:$K$28)</f>
        <v>0</v>
      </c>
      <c r="G11" s="12">
        <f>SUMIF('Resumo Investimentos'!$C$15:$C$28,"Depreciação",'Resumo Investimentos'!$L$15:$L$28)</f>
        <v>0</v>
      </c>
    </row>
    <row r="12" spans="1:7" ht="13.7" customHeight="1">
      <c r="A12" s="2" t="s">
        <v>275</v>
      </c>
      <c r="B12" s="9">
        <f t="shared" ref="B12:G12" si="1">B6-B7-B9-B10</f>
        <v>-387287</v>
      </c>
      <c r="C12" s="9">
        <f t="shared" si="1"/>
        <v>-152511.60000000009</v>
      </c>
      <c r="D12" s="9">
        <f t="shared" si="1"/>
        <v>275902.82000000007</v>
      </c>
      <c r="E12" s="9">
        <f t="shared" si="1"/>
        <v>972619.81162499974</v>
      </c>
      <c r="F12" s="9">
        <f t="shared" si="1"/>
        <v>2125358.5090499995</v>
      </c>
      <c r="G12" s="9">
        <f t="shared" si="1"/>
        <v>3506448.5402024994</v>
      </c>
    </row>
    <row r="13" spans="1:7" ht="13.7" customHeight="1">
      <c r="A13" s="2" t="s">
        <v>276</v>
      </c>
      <c r="B13" s="9">
        <f>B12</f>
        <v>-387287</v>
      </c>
      <c r="C13" s="9">
        <f>B13+C12</f>
        <v>-539798.60000000009</v>
      </c>
      <c r="D13" s="9">
        <f>C13+D12</f>
        <v>-263895.78000000003</v>
      </c>
      <c r="E13" s="9">
        <f>D13+E12</f>
        <v>708724.03162499971</v>
      </c>
      <c r="F13" s="9">
        <f>E13+F12</f>
        <v>2834082.5406749994</v>
      </c>
      <c r="G13" s="9">
        <f>F13+G12</f>
        <v>6340531.0808774987</v>
      </c>
    </row>
    <row r="15" spans="1:7" ht="21.75" customHeight="1">
      <c r="A15" s="37" t="s">
        <v>31</v>
      </c>
      <c r="B15" s="57"/>
      <c r="C15" s="57"/>
      <c r="D15" s="57"/>
      <c r="E15" s="57"/>
      <c r="F15" s="57"/>
      <c r="G15" s="57"/>
    </row>
    <row r="16" spans="1:7" ht="13.7" customHeight="1">
      <c r="A16" s="2" t="s">
        <v>277</v>
      </c>
      <c r="B16" s="20">
        <f>IF(B13&gt;=0,0,IF(C13&gt;=0,1,IF(D13&gt;=0,2,IF(E13&gt;=0,3,IF(F13&gt;=0,4,IF(G13&gt;=0,5,6))))))</f>
        <v>3</v>
      </c>
      <c r="D16" s="2" t="s">
        <v>278</v>
      </c>
      <c r="E16" s="2" t="str">
        <f>IF(B16&lt;=5,"Payback dentro do horizonte","Payback &gt; 5 anos")</f>
        <v>Payback dentro do horizonte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5:G15"/>
    <mergeCell ref="A2:G2"/>
    <mergeCell ref="A1:G1"/>
    <mergeCell ref="A4:G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defaultColWidth="12.625" defaultRowHeight="15" customHeight="1"/>
  <cols>
    <col min="1" max="1" width="20" customWidth="1"/>
    <col min="2" max="2" width="18" customWidth="1"/>
    <col min="3" max="3" width="58" customWidth="1"/>
    <col min="4" max="4" width="4" customWidth="1"/>
    <col min="5" max="5" width="12" customWidth="1"/>
    <col min="6" max="6" width="16" customWidth="1"/>
    <col min="7" max="26" width="8.625" customWidth="1"/>
  </cols>
  <sheetData>
    <row r="1" spans="1:6" ht="30" customHeight="1">
      <c r="A1" s="39" t="s">
        <v>279</v>
      </c>
      <c r="B1" s="57"/>
      <c r="C1" s="57"/>
      <c r="D1" s="57"/>
      <c r="E1" s="57"/>
      <c r="F1" s="57"/>
    </row>
    <row r="2" spans="1:6" ht="21.75" customHeight="1">
      <c r="A2" s="38" t="s">
        <v>280</v>
      </c>
      <c r="B2" s="57"/>
      <c r="C2" s="57"/>
      <c r="D2" s="57"/>
      <c r="E2" s="57"/>
      <c r="F2" s="57"/>
    </row>
    <row r="4" spans="1:6" ht="21.75" customHeight="1">
      <c r="A4" s="40" t="s">
        <v>281</v>
      </c>
      <c r="B4" s="57"/>
      <c r="C4" s="57"/>
      <c r="D4" s="57"/>
      <c r="E4" s="57"/>
      <c r="F4" s="57"/>
    </row>
    <row r="5" spans="1:6" ht="13.7" customHeight="1">
      <c r="A5" s="1" t="s">
        <v>282</v>
      </c>
      <c r="B5" s="1" t="s">
        <v>283</v>
      </c>
      <c r="C5" s="1" t="s">
        <v>284</v>
      </c>
      <c r="E5" s="2" t="s">
        <v>285</v>
      </c>
      <c r="F5" s="14">
        <f>'Detalhes do Projeto'!B32</f>
        <v>0.12</v>
      </c>
    </row>
    <row r="6" spans="1:6" ht="13.7" customHeight="1">
      <c r="A6" s="2" t="s">
        <v>27</v>
      </c>
      <c r="B6" s="9">
        <f t="array" ref="B6">'Fluxo de Caixa'!B12+NPV(F5,'Fluxo de Caixa'!C12:G12)</f>
        <v>3729138.3635201533</v>
      </c>
      <c r="C6" s="2" t="s">
        <v>286</v>
      </c>
    </row>
    <row r="7" spans="1:6" ht="13.7" customHeight="1">
      <c r="A7" s="2" t="s">
        <v>28</v>
      </c>
      <c r="B7" s="17">
        <f>IF(MIN('Fluxo de Caixa'!B12:G12)&lt;0,IF(MAX('Fluxo de Caixa'!B12:G12)&gt;0,IRR('Fluxo de Caixa'!B12:G12),0),0)</f>
        <v>0.96136054962281769</v>
      </c>
      <c r="C7" s="2" t="s">
        <v>287</v>
      </c>
    </row>
    <row r="8" spans="1:6" ht="13.7" customHeight="1">
      <c r="A8" s="2" t="s">
        <v>29</v>
      </c>
      <c r="B8" s="17">
        <f>IF((SUM('Resumo Investimentos'!B10:G10)+SUM('Resumo Investimentos'!B11:G11))=0,0,(SUM('Projeção Receitas'!C20:G20)-SUM('Resumo Investimentos'!B10:G10)-SUM('Resumo Investimentos'!B11:G11)-SUM('Fluxo de Caixa'!B9:G9))/(SUM('Resumo Investimentos'!B10:G10)+SUM('Resumo Investimentos'!B11:G11)))</f>
        <v>1.9405216209700533</v>
      </c>
      <c r="C8" s="2" t="s">
        <v>288</v>
      </c>
    </row>
    <row r="9" spans="1:6" ht="13.7" customHeight="1">
      <c r="A9" s="2" t="s">
        <v>30</v>
      </c>
      <c r="B9" s="19">
        <f>IF(ABS(SUMIF('Fluxo de Caixa'!B12:G12,"&lt;0",'Fluxo de Caixa'!B12:G12))=0,0,SUMIF('Fluxo de Caixa'!B12:G12,"&gt;0",'Fluxo de Caixa'!B12:G12)/ABS(SUMIF('Fluxo de Caixa'!B12:G12,"&lt;0",'Fluxo de Caixa'!B12:G12)))</f>
        <v>12.746105086003368</v>
      </c>
      <c r="C9" s="2" t="s">
        <v>289</v>
      </c>
    </row>
    <row r="10" spans="1:6" ht="13.7" customHeight="1">
      <c r="A10" s="2" t="s">
        <v>31</v>
      </c>
      <c r="B10" s="20">
        <f>'Fluxo de Caixa'!B16</f>
        <v>3</v>
      </c>
      <c r="C10" s="2" t="s">
        <v>290</v>
      </c>
    </row>
    <row r="13" spans="1:6" ht="21.75" customHeight="1">
      <c r="A13" s="37" t="s">
        <v>291</v>
      </c>
      <c r="B13" s="57"/>
      <c r="C13" s="57"/>
      <c r="D13" s="57"/>
      <c r="E13" s="57"/>
      <c r="F13" s="57"/>
    </row>
    <row r="14" spans="1:6" ht="13.7" customHeight="1">
      <c r="A14" s="2" t="s">
        <v>292</v>
      </c>
      <c r="B14" s="46" t="str">
        <f>IF(AND(B6&gt;0,B7&gt;F5,B10&lt;=5),"VIÁVEL - validar riscos e premissas",IF(AND(B6&gt;=0,B7&gt;=F5),"LIMÍTROFE - revisar premissas","REVISAR - indicadores não sustentam a aprovação"))</f>
        <v>VIÁVEL - validar riscos e premissas</v>
      </c>
      <c r="C14" s="57"/>
      <c r="D14" s="57"/>
      <c r="E14" s="57"/>
      <c r="F14" s="5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A13:F13"/>
    <mergeCell ref="A1:F1"/>
    <mergeCell ref="A4:F4"/>
    <mergeCell ref="B14:F1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sqref="A1:K1"/>
    </sheetView>
  </sheetViews>
  <sheetFormatPr defaultColWidth="12.625" defaultRowHeight="15" customHeight="1"/>
  <cols>
    <col min="1" max="1" width="8" customWidth="1"/>
    <col min="2" max="2" width="34" customWidth="1"/>
    <col min="3" max="3" width="18" customWidth="1"/>
    <col min="4" max="5" width="12" customWidth="1"/>
    <col min="6" max="6" width="10" customWidth="1"/>
    <col min="7" max="7" width="12" customWidth="1"/>
    <col min="8" max="8" width="20" customWidth="1"/>
    <col min="9" max="9" width="38" customWidth="1"/>
    <col min="10" max="10" width="18" customWidth="1"/>
    <col min="11" max="11" width="14" customWidth="1"/>
    <col min="12" max="26" width="8.625" customWidth="1"/>
  </cols>
  <sheetData>
    <row r="1" spans="1:11" ht="30" customHeight="1">
      <c r="A1" s="39" t="s">
        <v>293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1.75" customHeight="1">
      <c r="A2" s="38" t="s">
        <v>294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spans="1:11" ht="21.75" customHeight="1">
      <c r="A4" s="40" t="s">
        <v>295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 ht="27.6" customHeight="1">
      <c r="A5" s="1" t="s">
        <v>296</v>
      </c>
      <c r="B5" s="1" t="s">
        <v>297</v>
      </c>
      <c r="C5" s="1" t="s">
        <v>192</v>
      </c>
      <c r="D5" s="1" t="s">
        <v>298</v>
      </c>
      <c r="E5" s="1" t="s">
        <v>299</v>
      </c>
      <c r="F5" s="1" t="s">
        <v>300</v>
      </c>
      <c r="G5" s="1" t="s">
        <v>301</v>
      </c>
      <c r="H5" s="1" t="s">
        <v>302</v>
      </c>
      <c r="I5" s="1" t="s">
        <v>303</v>
      </c>
      <c r="J5" s="1" t="s">
        <v>40</v>
      </c>
      <c r="K5" s="1" t="s">
        <v>278</v>
      </c>
    </row>
    <row r="6" spans="1:11" ht="13.7" customHeight="1">
      <c r="A6" s="2" t="s">
        <v>304</v>
      </c>
      <c r="B6" s="4"/>
      <c r="C6" s="4"/>
      <c r="D6" s="4"/>
      <c r="E6" s="4"/>
      <c r="F6" s="18">
        <f t="shared" ref="F6:F20" si="0">D6*E6</f>
        <v>0</v>
      </c>
      <c r="G6" s="18" t="str">
        <f t="shared" ref="G6:G20" si="1">IF(F6&gt;=15,"Alto",IF(F6&gt;=8,"Médio","Baixo"))</f>
        <v>Baixo</v>
      </c>
      <c r="H6" s="5"/>
      <c r="I6" s="4"/>
      <c r="J6" s="4"/>
      <c r="K6" s="4"/>
    </row>
    <row r="7" spans="1:11" ht="13.7" customHeight="1">
      <c r="A7" s="2" t="s">
        <v>305</v>
      </c>
      <c r="B7" s="4"/>
      <c r="C7" s="4"/>
      <c r="D7" s="4"/>
      <c r="E7" s="4"/>
      <c r="F7" s="18">
        <f t="shared" si="0"/>
        <v>0</v>
      </c>
      <c r="G7" s="18" t="str">
        <f t="shared" si="1"/>
        <v>Baixo</v>
      </c>
      <c r="H7" s="5"/>
      <c r="I7" s="4"/>
      <c r="J7" s="4"/>
      <c r="K7" s="4"/>
    </row>
    <row r="8" spans="1:11" ht="13.7" customHeight="1">
      <c r="A8" s="2" t="s">
        <v>306</v>
      </c>
      <c r="B8" s="4"/>
      <c r="C8" s="4"/>
      <c r="D8" s="4"/>
      <c r="E8" s="4"/>
      <c r="F8" s="18">
        <f t="shared" si="0"/>
        <v>0</v>
      </c>
      <c r="G8" s="18" t="str">
        <f t="shared" si="1"/>
        <v>Baixo</v>
      </c>
      <c r="H8" s="5"/>
      <c r="I8" s="4"/>
      <c r="J8" s="4"/>
      <c r="K8" s="4"/>
    </row>
    <row r="9" spans="1:11" ht="13.7" customHeight="1">
      <c r="A9" s="2" t="s">
        <v>307</v>
      </c>
      <c r="B9" s="4"/>
      <c r="C9" s="4"/>
      <c r="D9" s="4"/>
      <c r="E9" s="4"/>
      <c r="F9" s="18">
        <f t="shared" si="0"/>
        <v>0</v>
      </c>
      <c r="G9" s="18" t="str">
        <f t="shared" si="1"/>
        <v>Baixo</v>
      </c>
      <c r="H9" s="5"/>
      <c r="I9" s="4"/>
      <c r="J9" s="4"/>
      <c r="K9" s="4"/>
    </row>
    <row r="10" spans="1:11" ht="13.7" customHeight="1">
      <c r="A10" s="2" t="s">
        <v>308</v>
      </c>
      <c r="B10" s="4"/>
      <c r="C10" s="4"/>
      <c r="D10" s="4"/>
      <c r="E10" s="4"/>
      <c r="F10" s="18">
        <f t="shared" si="0"/>
        <v>0</v>
      </c>
      <c r="G10" s="18" t="str">
        <f t="shared" si="1"/>
        <v>Baixo</v>
      </c>
      <c r="H10" s="5"/>
      <c r="I10" s="4"/>
      <c r="J10" s="4"/>
      <c r="K10" s="4"/>
    </row>
    <row r="11" spans="1:11" ht="13.7" customHeight="1">
      <c r="A11" s="2" t="s">
        <v>309</v>
      </c>
      <c r="B11" s="4"/>
      <c r="C11" s="4"/>
      <c r="D11" s="4"/>
      <c r="E11" s="4"/>
      <c r="F11" s="18">
        <f t="shared" si="0"/>
        <v>0</v>
      </c>
      <c r="G11" s="18" t="str">
        <f t="shared" si="1"/>
        <v>Baixo</v>
      </c>
      <c r="H11" s="5"/>
      <c r="I11" s="4"/>
      <c r="J11" s="4"/>
      <c r="K11" s="4"/>
    </row>
    <row r="12" spans="1:11" ht="13.7" customHeight="1">
      <c r="A12" s="2" t="s">
        <v>310</v>
      </c>
      <c r="B12" s="4"/>
      <c r="C12" s="4"/>
      <c r="D12" s="4"/>
      <c r="E12" s="4"/>
      <c r="F12" s="18">
        <f t="shared" si="0"/>
        <v>0</v>
      </c>
      <c r="G12" s="18" t="str">
        <f t="shared" si="1"/>
        <v>Baixo</v>
      </c>
      <c r="H12" s="5"/>
      <c r="I12" s="4"/>
      <c r="J12" s="4"/>
      <c r="K12" s="4"/>
    </row>
    <row r="13" spans="1:11" ht="13.7" customHeight="1">
      <c r="A13" s="2" t="s">
        <v>311</v>
      </c>
      <c r="B13" s="4"/>
      <c r="C13" s="4"/>
      <c r="D13" s="4"/>
      <c r="E13" s="4"/>
      <c r="F13" s="18">
        <f t="shared" si="0"/>
        <v>0</v>
      </c>
      <c r="G13" s="18" t="str">
        <f t="shared" si="1"/>
        <v>Baixo</v>
      </c>
      <c r="H13" s="5"/>
      <c r="I13" s="4"/>
      <c r="J13" s="4"/>
      <c r="K13" s="4"/>
    </row>
    <row r="14" spans="1:11" ht="13.7" customHeight="1">
      <c r="A14" s="2" t="s">
        <v>312</v>
      </c>
      <c r="B14" s="4"/>
      <c r="C14" s="4"/>
      <c r="D14" s="4"/>
      <c r="E14" s="4"/>
      <c r="F14" s="18">
        <f t="shared" si="0"/>
        <v>0</v>
      </c>
      <c r="G14" s="18" t="str">
        <f t="shared" si="1"/>
        <v>Baixo</v>
      </c>
      <c r="H14" s="5"/>
      <c r="I14" s="4"/>
      <c r="J14" s="4"/>
      <c r="K14" s="4"/>
    </row>
    <row r="15" spans="1:11" ht="13.7" customHeight="1">
      <c r="A15" s="2" t="s">
        <v>313</v>
      </c>
      <c r="B15" s="4"/>
      <c r="C15" s="4"/>
      <c r="D15" s="4"/>
      <c r="E15" s="4"/>
      <c r="F15" s="18">
        <f t="shared" si="0"/>
        <v>0</v>
      </c>
      <c r="G15" s="18" t="str">
        <f t="shared" si="1"/>
        <v>Baixo</v>
      </c>
      <c r="H15" s="5"/>
      <c r="I15" s="4"/>
      <c r="J15" s="4"/>
      <c r="K15" s="4"/>
    </row>
    <row r="16" spans="1:11" ht="13.7" customHeight="1">
      <c r="A16" s="2" t="s">
        <v>314</v>
      </c>
      <c r="B16" s="4"/>
      <c r="C16" s="4"/>
      <c r="D16" s="4"/>
      <c r="E16" s="4"/>
      <c r="F16" s="18">
        <f t="shared" si="0"/>
        <v>0</v>
      </c>
      <c r="G16" s="18" t="str">
        <f t="shared" si="1"/>
        <v>Baixo</v>
      </c>
      <c r="H16" s="5"/>
      <c r="I16" s="4"/>
      <c r="J16" s="4"/>
      <c r="K16" s="4"/>
    </row>
    <row r="17" spans="1:11" ht="13.7" customHeight="1">
      <c r="A17" s="2" t="s">
        <v>315</v>
      </c>
      <c r="B17" s="4"/>
      <c r="C17" s="4"/>
      <c r="D17" s="4"/>
      <c r="E17" s="4"/>
      <c r="F17" s="18">
        <f t="shared" si="0"/>
        <v>0</v>
      </c>
      <c r="G17" s="18" t="str">
        <f t="shared" si="1"/>
        <v>Baixo</v>
      </c>
      <c r="H17" s="5"/>
      <c r="I17" s="4"/>
      <c r="J17" s="4"/>
      <c r="K17" s="4"/>
    </row>
    <row r="18" spans="1:11" ht="13.7" customHeight="1">
      <c r="A18" s="2" t="s">
        <v>316</v>
      </c>
      <c r="B18" s="4"/>
      <c r="C18" s="4"/>
      <c r="D18" s="4"/>
      <c r="E18" s="4"/>
      <c r="F18" s="18">
        <f t="shared" si="0"/>
        <v>0</v>
      </c>
      <c r="G18" s="18" t="str">
        <f t="shared" si="1"/>
        <v>Baixo</v>
      </c>
      <c r="H18" s="5"/>
      <c r="I18" s="4"/>
      <c r="J18" s="4"/>
      <c r="K18" s="4"/>
    </row>
    <row r="19" spans="1:11" ht="13.7" customHeight="1">
      <c r="A19" s="2" t="s">
        <v>317</v>
      </c>
      <c r="B19" s="4"/>
      <c r="C19" s="4"/>
      <c r="D19" s="4"/>
      <c r="E19" s="4"/>
      <c r="F19" s="18">
        <f t="shared" si="0"/>
        <v>0</v>
      </c>
      <c r="G19" s="18" t="str">
        <f t="shared" si="1"/>
        <v>Baixo</v>
      </c>
      <c r="H19" s="5"/>
      <c r="I19" s="4"/>
      <c r="J19" s="4"/>
      <c r="K19" s="4"/>
    </row>
    <row r="20" spans="1:11" ht="13.7" customHeight="1">
      <c r="A20" s="2" t="s">
        <v>318</v>
      </c>
      <c r="B20" s="4"/>
      <c r="C20" s="4"/>
      <c r="D20" s="4"/>
      <c r="E20" s="4"/>
      <c r="F20" s="18">
        <f t="shared" si="0"/>
        <v>0</v>
      </c>
      <c r="G20" s="18" t="str">
        <f t="shared" si="1"/>
        <v>Baixo</v>
      </c>
      <c r="H20" s="5"/>
      <c r="I20" s="4"/>
      <c r="J20" s="4"/>
      <c r="K20" s="4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1:K1"/>
    <mergeCell ref="A4:K4"/>
  </mergeCells>
  <conditionalFormatting sqref="F6:F20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G6:G20">
    <cfRule type="expression" dxfId="2" priority="2">
      <formula>G6="Alto"</formula>
    </cfRule>
    <cfRule type="expression" dxfId="1" priority="3">
      <formula>G6="Médio"</formula>
    </cfRule>
    <cfRule type="expression" dxfId="0" priority="4">
      <formula>G6="Baixo"</formula>
    </cfRule>
  </conditionalFormatting>
  <dataValidations count="3">
    <dataValidation type="list" allowBlank="1" sqref="C6:C20" xr:uid="{00000000-0002-0000-0600-000000000000}">
      <formula1>"Mercado,Tecnologia,Financeiro,Operacional,Legal / Compliance,Pessoas,Fornecedor,Cronograma,Outro"</formula1>
    </dataValidation>
    <dataValidation type="list" allowBlank="1" sqref="D6:E20" xr:uid="{00000000-0002-0000-0600-000001000000}">
      <formula1>"1,2,3,4,5"</formula1>
    </dataValidation>
    <dataValidation type="list" allowBlank="1" sqref="K6:K20" xr:uid="{00000000-0002-0000-0600-000002000000}">
      <formula1>"Aberto,Mitigando,Aceito,Fechado"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sqref="A1:H1"/>
    </sheetView>
  </sheetViews>
  <sheetFormatPr defaultColWidth="12.625" defaultRowHeight="15" customHeight="1"/>
  <cols>
    <col min="1" max="1" width="28" customWidth="1"/>
    <col min="2" max="4" width="16" customWidth="1"/>
    <col min="5" max="5" width="4" customWidth="1"/>
    <col min="6" max="8" width="15" customWidth="1"/>
    <col min="9" max="26" width="8.625" customWidth="1"/>
  </cols>
  <sheetData>
    <row r="1" spans="1:8" ht="30" customHeight="1">
      <c r="A1" s="39" t="s">
        <v>319</v>
      </c>
      <c r="B1" s="57"/>
      <c r="C1" s="57"/>
      <c r="D1" s="57"/>
      <c r="E1" s="57"/>
      <c r="F1" s="57"/>
      <c r="G1" s="57"/>
      <c r="H1" s="57"/>
    </row>
    <row r="2" spans="1:8" ht="21.75" customHeight="1">
      <c r="A2" s="38" t="s">
        <v>320</v>
      </c>
      <c r="B2" s="57"/>
      <c r="C2" s="57"/>
      <c r="D2" s="57"/>
      <c r="E2" s="57"/>
      <c r="F2" s="57"/>
      <c r="G2" s="57"/>
      <c r="H2" s="57"/>
    </row>
    <row r="4" spans="1:8" ht="21.75" customHeight="1">
      <c r="A4" s="40" t="s">
        <v>321</v>
      </c>
      <c r="B4" s="57"/>
      <c r="C4" s="57"/>
      <c r="D4" s="57"/>
      <c r="E4" s="57"/>
      <c r="F4" s="57"/>
      <c r="G4" s="57"/>
      <c r="H4" s="57"/>
    </row>
    <row r="5" spans="1:8" ht="13.7" customHeight="1">
      <c r="A5" s="1" t="s">
        <v>133</v>
      </c>
      <c r="B5" s="1" t="s">
        <v>322</v>
      </c>
      <c r="C5" s="1" t="s">
        <v>323</v>
      </c>
      <c r="D5" s="1" t="s">
        <v>324</v>
      </c>
    </row>
    <row r="6" spans="1:8" ht="13.7" customHeight="1">
      <c r="A6" s="22" t="s">
        <v>325</v>
      </c>
      <c r="B6" s="7">
        <v>0.8</v>
      </c>
      <c r="C6" s="7">
        <v>1</v>
      </c>
      <c r="D6" s="7">
        <v>1.2</v>
      </c>
    </row>
    <row r="7" spans="1:8" ht="13.7" customHeight="1">
      <c r="A7" s="22" t="s">
        <v>326</v>
      </c>
      <c r="B7" s="7">
        <v>1.1000000000000001</v>
      </c>
      <c r="C7" s="7">
        <v>1</v>
      </c>
      <c r="D7" s="7">
        <v>0.95</v>
      </c>
    </row>
    <row r="8" spans="1:8" ht="13.7" customHeight="1">
      <c r="A8" s="22" t="s">
        <v>327</v>
      </c>
      <c r="B8" s="7">
        <v>1.1000000000000001</v>
      </c>
      <c r="C8" s="7">
        <v>1</v>
      </c>
      <c r="D8" s="7">
        <v>1</v>
      </c>
    </row>
    <row r="10" spans="1:8" ht="21.75" customHeight="1">
      <c r="A10" s="37" t="s">
        <v>328</v>
      </c>
      <c r="B10" s="57"/>
      <c r="C10" s="57"/>
      <c r="D10" s="57"/>
      <c r="E10" s="57"/>
      <c r="F10" s="57"/>
      <c r="G10" s="57"/>
      <c r="H10" s="57"/>
    </row>
    <row r="11" spans="1:8" ht="13.7" customHeight="1">
      <c r="A11" s="1" t="s">
        <v>282</v>
      </c>
      <c r="B11" s="1" t="s">
        <v>322</v>
      </c>
      <c r="C11" s="1" t="s">
        <v>323</v>
      </c>
      <c r="D11" s="1" t="s">
        <v>324</v>
      </c>
    </row>
    <row r="12" spans="1:8" ht="13.7" customHeight="1">
      <c r="A12" s="2" t="s">
        <v>329</v>
      </c>
      <c r="B12" s="9">
        <f>'Projeção Receitas'!G21*B$6</f>
        <v>7686374.0265600001</v>
      </c>
      <c r="C12" s="9">
        <f>'Projeção Receitas'!G21*C$6</f>
        <v>9607967.5331999995</v>
      </c>
      <c r="D12" s="9">
        <f>'Projeção Receitas'!G21*D$6</f>
        <v>11529561.03984</v>
      </c>
    </row>
    <row r="13" spans="1:8" ht="13.7" customHeight="1">
      <c r="A13" s="2" t="s">
        <v>330</v>
      </c>
      <c r="B13" s="9">
        <f>'Resumo Investimentos'!H11*B$7</f>
        <v>3524177.0332422513</v>
      </c>
      <c r="C13" s="9">
        <f>'Resumo Investimentos'!H11*C$7</f>
        <v>3203797.3029475007</v>
      </c>
      <c r="D13" s="9">
        <f>'Resumo Investimentos'!H11*D$7</f>
        <v>3043607.4378001257</v>
      </c>
    </row>
    <row r="14" spans="1:8" ht="13.7" customHeight="1">
      <c r="A14" s="2" t="s">
        <v>331</v>
      </c>
      <c r="B14" s="9">
        <f>'Resumo Investimentos'!H10*B$8</f>
        <v>70003.064312500006</v>
      </c>
      <c r="C14" s="9">
        <f>'Resumo Investimentos'!H10*C$8</f>
        <v>63639.149375000001</v>
      </c>
      <c r="D14" s="9">
        <f>'Resumo Investimentos'!H10*D$8</f>
        <v>63639.149375000001</v>
      </c>
    </row>
    <row r="15" spans="1:8" ht="13.7" customHeight="1">
      <c r="A15" s="2" t="s">
        <v>27</v>
      </c>
      <c r="B15" s="9">
        <f>-('Resumo Investimentos'!B10*B$8)-('Resumo Investimentos'!B11*B$7)+((('Projeção Receitas'!C20*B$6)-('Resumo Investimentos'!C11*B$7)-('Resumo Investimentos'!C10*B$8))/(1+'Detalhes do Projeto'!$B$32)^1)+((('Projeção Receitas'!D20*B$6)-('Resumo Investimentos'!D11*B$7)-('Resumo Investimentos'!D10*B$8))/(1+'Detalhes do Projeto'!$B$32)^2)+((('Projeção Receitas'!E20*B$6)-('Resumo Investimentos'!E11*B$7)-('Resumo Investimentos'!E10*B$8))/(1+'Detalhes do Projeto'!$B$32)^3)+((('Projeção Receitas'!F20*B$6)-('Resumo Investimentos'!F11*B$7)-('Resumo Investimentos'!F10*B$8))/(1+'Detalhes do Projeto'!$B$32)^4)+((('Projeção Receitas'!G20*B$6)-('Resumo Investimentos'!G11*B$7)-('Resumo Investimentos'!G10*B$8))/(1+'Detalhes do Projeto'!$B$32)^5)</f>
        <v>2250249.6149764699</v>
      </c>
      <c r="C15" s="9">
        <f>-('Resumo Investimentos'!B10*C$8)-('Resumo Investimentos'!B11*C$7)+((('Projeção Receitas'!C20*C$6)-('Resumo Investimentos'!C11*C$7)-('Resumo Investimentos'!C10*C$8))/(1+'Detalhes do Projeto'!$B$32)^1)+((('Projeção Receitas'!D20*C$6)-('Resumo Investimentos'!D11*C$7)-('Resumo Investimentos'!D10*C$8))/(1+'Detalhes do Projeto'!$B$32)^2)+((('Projeção Receitas'!E20*C$6)-('Resumo Investimentos'!E11*C$7)-('Resumo Investimentos'!E10*C$8))/(1+'Detalhes do Projeto'!$B$32)^3)+((('Projeção Receitas'!F20*C$6)-('Resumo Investimentos'!F11*C$7)-('Resumo Investimentos'!F10*C$8))/(1+'Detalhes do Projeto'!$B$32)^4)+((('Projeção Receitas'!G20*C$6)-('Resumo Investimentos'!G11*C$7)-('Resumo Investimentos'!G10*C$8))/(1+'Detalhes do Projeto'!$B$32)^5)</f>
        <v>3729138.3635201547</v>
      </c>
      <c r="D15" s="9">
        <f>-('Resumo Investimentos'!B10*D$8)-('Resumo Investimentos'!B11*D$7)+((('Projeção Receitas'!C20*D$6)-('Resumo Investimentos'!C11*D$7)-('Resumo Investimentos'!C10*D$8))/(1+'Detalhes do Projeto'!$B$32)^1)+((('Projeção Receitas'!D20*D$6)-('Resumo Investimentos'!D11*D$7)-('Resumo Investimentos'!D10*D$8))/(1+'Detalhes do Projeto'!$B$32)^2)+((('Projeção Receitas'!E20*D$6)-('Resumo Investimentos'!E11*D$7)-('Resumo Investimentos'!E10*D$8))/(1+'Detalhes do Projeto'!$B$32)^3)+((('Projeção Receitas'!F20*D$6)-('Resumo Investimentos'!F11*D$7)-('Resumo Investimentos'!F10*D$8))/(1+'Detalhes do Projeto'!$B$32)^4)+((('Projeção Receitas'!G20*D$6)-('Resumo Investimentos'!G11*D$7)-('Resumo Investimentos'!G10*D$8))/(1+'Detalhes do Projeto'!$B$32)^5)</f>
        <v>5083160.3595353877</v>
      </c>
    </row>
    <row r="16" spans="1:8" ht="13.7" customHeight="1">
      <c r="A16" s="2" t="s">
        <v>29</v>
      </c>
      <c r="B16" s="17">
        <f>IF((B13+B14)=0,0,(B12-B13-B14)/(B13+B14))</f>
        <v>1.1385611788873113</v>
      </c>
      <c r="C16" s="17">
        <f>IF((C13+C14)=0,0,(C12-C13-C14)/(C13+C14))</f>
        <v>1.9405216209700531</v>
      </c>
      <c r="D16" s="17">
        <f>IF((D13+D14)=0,0,(D12-D13-D14)/(D13+D14))</f>
        <v>2.7105394491145964</v>
      </c>
    </row>
    <row r="17" spans="1:8" ht="13.7" customHeight="1">
      <c r="A17" s="2" t="s">
        <v>31</v>
      </c>
      <c r="B17" s="20">
        <f>IF(B22&gt;=0,0,IF(C22&gt;=0,1,IF(D22&gt;=0,2,IF(E22&gt;=0,3,IF(F22&gt;=0,4,IF(G22&gt;=0,5,6))))))</f>
        <v>4</v>
      </c>
      <c r="C17" s="20">
        <f>IF(B24&gt;=0,0,IF(C24&gt;=0,1,IF(D24&gt;=0,2,IF(E24&gt;=0,3,IF(F24&gt;=0,4,IF(G24&gt;=0,5,6))))))</f>
        <v>3</v>
      </c>
      <c r="D17" s="20">
        <f>IF(B26&gt;=0,0,IF(C26&gt;=0,1,IF(D26&gt;=0,2,IF(E26&gt;=0,3,IF(F26&gt;=0,4,IF(G26&gt;=0,5,6))))))</f>
        <v>2</v>
      </c>
    </row>
    <row r="19" spans="1:8" ht="21.75" customHeight="1">
      <c r="A19" s="40" t="s">
        <v>332</v>
      </c>
      <c r="B19" s="57"/>
      <c r="C19" s="57"/>
      <c r="D19" s="57"/>
      <c r="E19" s="57"/>
      <c r="F19" s="57"/>
      <c r="G19" s="57"/>
      <c r="H19" s="57"/>
    </row>
    <row r="20" spans="1:8" ht="27.6" customHeight="1">
      <c r="A20" s="1" t="s">
        <v>333</v>
      </c>
      <c r="B20" s="1" t="s">
        <v>182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</row>
    <row r="21" spans="1:8" ht="15.75" customHeight="1">
      <c r="A21" s="2" t="s">
        <v>322</v>
      </c>
      <c r="B21" s="9">
        <f>-('Resumo Investimentos'!B10*B$8)-('Resumo Investimentos'!B11*B$7)</f>
        <v>-426015.7</v>
      </c>
      <c r="C21" s="9">
        <f>('Projeção Receitas'!C20*B$6)-('Resumo Investimentos'!C11*B$7)-('Resumo Investimentos'!C10*B$8)</f>
        <v>-280082.76000000013</v>
      </c>
      <c r="D21" s="9">
        <f>('Projeção Receitas'!D20*B$6)-('Resumo Investimentos'!D11*B$7)-('Resumo Investimentos'!D10*B$8)</f>
        <v>59305.102000000072</v>
      </c>
      <c r="E21" s="9">
        <f>('Projeção Receitas'!E20*B$6)-('Resumo Investimentos'!E11*B$7)-('Resumo Investimentos'!E10*B$8)</f>
        <v>598364.59278750001</v>
      </c>
      <c r="F21" s="9">
        <f>('Projeção Receitas'!F20*B$6)-('Resumo Investimentos'!F11*B$7)-('Resumo Investimentos'!F10*B$8)</f>
        <v>1522324.3949549994</v>
      </c>
      <c r="G21" s="9">
        <f>('Projeção Receitas'!G20*B$6)-('Resumo Investimentos'!G11*B$7)-('Resumo Investimentos'!G10*B$8)</f>
        <v>2618298.2992627495</v>
      </c>
    </row>
    <row r="22" spans="1:8" ht="15.75" customHeight="1">
      <c r="A22" s="2" t="s">
        <v>334</v>
      </c>
      <c r="B22" s="9">
        <f>B21</f>
        <v>-426015.7</v>
      </c>
      <c r="C22" s="9">
        <f>B22+C21</f>
        <v>-706098.4600000002</v>
      </c>
      <c r="D22" s="9">
        <f>C22+D21</f>
        <v>-646793.35800000012</v>
      </c>
      <c r="E22" s="9">
        <f>D22+E21</f>
        <v>-48428.765212500119</v>
      </c>
      <c r="F22" s="9">
        <f>E22+F21</f>
        <v>1473895.6297424994</v>
      </c>
      <c r="G22" s="9">
        <f>F22+G21</f>
        <v>4092193.9290052489</v>
      </c>
    </row>
    <row r="23" spans="1:8" ht="15.75" customHeight="1">
      <c r="A23" s="2" t="s">
        <v>323</v>
      </c>
      <c r="B23" s="9">
        <f>-('Resumo Investimentos'!B10*C$8)-('Resumo Investimentos'!B11*C$7)</f>
        <v>-387287</v>
      </c>
      <c r="C23" s="9">
        <f>('Projeção Receitas'!C20*C$6)-('Resumo Investimentos'!C11*C$7)-('Resumo Investimentos'!C10*C$8)</f>
        <v>-152511.60000000009</v>
      </c>
      <c r="D23" s="9">
        <f>('Projeção Receitas'!D20*C$6)-('Resumo Investimentos'!D11*C$7)-('Resumo Investimentos'!D10*C$8)</f>
        <v>275902.82000000007</v>
      </c>
      <c r="E23" s="9">
        <f>('Projeção Receitas'!E20*C$6)-('Resumo Investimentos'!E11*C$7)-('Resumo Investimentos'!E10*C$8)</f>
        <v>972619.81162499974</v>
      </c>
      <c r="F23" s="9">
        <f>('Projeção Receitas'!F20*C$6)-('Resumo Investimentos'!F11*C$7)-('Resumo Investimentos'!F10*C$8)</f>
        <v>2125358.5090499995</v>
      </c>
      <c r="G23" s="9">
        <f>('Projeção Receitas'!G20*C$6)-('Resumo Investimentos'!G11*C$7)-('Resumo Investimentos'!G10*C$8)</f>
        <v>3506448.5402024994</v>
      </c>
    </row>
    <row r="24" spans="1:8" ht="15.75" customHeight="1">
      <c r="A24" s="2" t="s">
        <v>335</v>
      </c>
      <c r="B24" s="9">
        <f>B23</f>
        <v>-387287</v>
      </c>
      <c r="C24" s="9">
        <f>B24+C23</f>
        <v>-539798.60000000009</v>
      </c>
      <c r="D24" s="9">
        <f>C24+D23</f>
        <v>-263895.78000000003</v>
      </c>
      <c r="E24" s="9">
        <f>D24+E23</f>
        <v>708724.03162499971</v>
      </c>
      <c r="F24" s="9">
        <f>E24+F23</f>
        <v>2834082.5406749994</v>
      </c>
      <c r="G24" s="9">
        <f>F24+G23</f>
        <v>6340531.0808774987</v>
      </c>
    </row>
    <row r="25" spans="1:8" ht="15.75" customHeight="1">
      <c r="A25" s="2" t="s">
        <v>324</v>
      </c>
      <c r="B25" s="9">
        <f>-('Resumo Investimentos'!B10*D$8)-('Resumo Investimentos'!B11*D$7)</f>
        <v>-369397.39999999997</v>
      </c>
      <c r="C25" s="9">
        <f>('Projeção Receitas'!C20*D$6)-('Resumo Investimentos'!C11*D$7)-('Resumo Investimentos'!C10*D$8)</f>
        <v>-51286.020000000077</v>
      </c>
      <c r="D25" s="9">
        <f>('Projeção Receitas'!D20*D$6)-('Resumo Investimentos'!D11*D$7)-('Resumo Investimentos'!D10*D$8)</f>
        <v>465597.67900000006</v>
      </c>
      <c r="E25" s="9">
        <f>('Projeção Receitas'!E20*D$6)-('Resumo Investimentos'!E11*D$7)-('Resumo Investimentos'!E10*D$8)</f>
        <v>1315212.6135749996</v>
      </c>
      <c r="F25" s="9">
        <f>('Projeção Receitas'!F20*D$6)-('Resumo Investimentos'!F11*D$7)-('Resumo Investimentos'!F10*D$8)</f>
        <v>2698732.2210974996</v>
      </c>
      <c r="G25" s="9">
        <f>('Projeção Receitas'!G20*D$6)-('Resumo Investimentos'!G11*D$7)-('Resumo Investimentos'!G10*D$8)</f>
        <v>4363455.3589923745</v>
      </c>
    </row>
    <row r="26" spans="1:8" ht="15.75" customHeight="1">
      <c r="A26" s="2" t="s">
        <v>336</v>
      </c>
      <c r="B26" s="9">
        <f>B25</f>
        <v>-369397.39999999997</v>
      </c>
      <c r="C26" s="9">
        <f>B26+C25</f>
        <v>-420683.42000000004</v>
      </c>
      <c r="D26" s="9">
        <f>C26+D25</f>
        <v>44914.25900000002</v>
      </c>
      <c r="E26" s="9">
        <f>D26+E25</f>
        <v>1360126.8725749997</v>
      </c>
      <c r="F26" s="9">
        <f>E26+F25</f>
        <v>4058859.0936724991</v>
      </c>
      <c r="G26" s="9">
        <f>F26+G25</f>
        <v>8422314.4526648745</v>
      </c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H4"/>
    <mergeCell ref="A2:H2"/>
    <mergeCell ref="A10:H10"/>
    <mergeCell ref="A19:H19"/>
    <mergeCell ref="A1:H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sqref="A1:H1"/>
    </sheetView>
  </sheetViews>
  <sheetFormatPr defaultColWidth="12.625" defaultRowHeight="15" customHeight="1"/>
  <cols>
    <col min="1" max="1" width="24" customWidth="1"/>
    <col min="2" max="8" width="16" customWidth="1"/>
    <col min="9" max="26" width="8.625" customWidth="1"/>
  </cols>
  <sheetData>
    <row r="1" spans="1:8" ht="30" customHeight="1">
      <c r="A1" s="39" t="s">
        <v>337</v>
      </c>
      <c r="B1" s="57"/>
      <c r="C1" s="57"/>
      <c r="D1" s="57"/>
      <c r="E1" s="57"/>
      <c r="F1" s="57"/>
      <c r="G1" s="57"/>
      <c r="H1" s="57"/>
    </row>
    <row r="2" spans="1:8" ht="21.75" customHeight="1">
      <c r="A2" s="38" t="s">
        <v>338</v>
      </c>
      <c r="B2" s="57"/>
      <c r="C2" s="57"/>
      <c r="D2" s="57"/>
      <c r="E2" s="57"/>
      <c r="F2" s="57"/>
      <c r="G2" s="57"/>
      <c r="H2" s="57"/>
    </row>
    <row r="4" spans="1:8" ht="21.75" customHeight="1">
      <c r="A4" s="40" t="s">
        <v>339</v>
      </c>
      <c r="B4" s="57"/>
      <c r="C4" s="57"/>
      <c r="D4" s="57"/>
      <c r="E4" s="57"/>
      <c r="F4" s="57"/>
      <c r="G4" s="57"/>
      <c r="H4" s="57"/>
    </row>
    <row r="5" spans="1:8" ht="13.7" customHeight="1">
      <c r="A5" s="2" t="s">
        <v>27</v>
      </c>
      <c r="B5" s="12">
        <f>Indicadores!B6</f>
        <v>3729138.3635201533</v>
      </c>
      <c r="D5" s="2" t="s">
        <v>292</v>
      </c>
      <c r="E5" s="47" t="str">
        <f>Indicadores!B14</f>
        <v>VIÁVEL - validar riscos e premissas</v>
      </c>
      <c r="F5" s="57"/>
      <c r="G5" s="57"/>
      <c r="H5" s="57"/>
    </row>
    <row r="6" spans="1:8" ht="13.7" customHeight="1">
      <c r="A6" s="2" t="s">
        <v>28</v>
      </c>
      <c r="B6" s="14">
        <f>Indicadores!B7</f>
        <v>0.96136054962281769</v>
      </c>
      <c r="E6" s="57"/>
      <c r="F6" s="57"/>
      <c r="G6" s="57"/>
      <c r="H6" s="57"/>
    </row>
    <row r="7" spans="1:8" ht="13.7" customHeight="1">
      <c r="A7" s="2" t="s">
        <v>29</v>
      </c>
      <c r="B7" s="14">
        <f>Indicadores!B8</f>
        <v>1.9405216209700533</v>
      </c>
    </row>
    <row r="8" spans="1:8" ht="13.7" customHeight="1">
      <c r="A8" s="2" t="s">
        <v>30</v>
      </c>
      <c r="B8" s="15">
        <f>Indicadores!B9</f>
        <v>12.746105086003368</v>
      </c>
    </row>
    <row r="9" spans="1:8" ht="13.7" customHeight="1">
      <c r="A9" s="2" t="s">
        <v>31</v>
      </c>
      <c r="B9" s="16">
        <f>Indicadores!B10</f>
        <v>3</v>
      </c>
    </row>
    <row r="12" spans="1:8" ht="21.75" customHeight="1">
      <c r="A12" s="40" t="s">
        <v>340</v>
      </c>
      <c r="B12" s="57"/>
      <c r="C12" s="57"/>
      <c r="D12" s="57"/>
      <c r="E12" s="57"/>
      <c r="F12" s="57"/>
      <c r="G12" s="57"/>
      <c r="H12" s="57"/>
    </row>
    <row r="13" spans="1:8" ht="13.7" customHeight="1">
      <c r="A13" s="2" t="s">
        <v>341</v>
      </c>
      <c r="B13" s="3" t="s">
        <v>342</v>
      </c>
    </row>
    <row r="15" spans="1:8" ht="13.7" customHeight="1">
      <c r="A15" s="21" t="s">
        <v>343</v>
      </c>
      <c r="B15" s="42"/>
      <c r="C15" s="57"/>
      <c r="D15" s="57"/>
      <c r="E15" s="57"/>
      <c r="F15" s="57"/>
      <c r="G15" s="57"/>
      <c r="H15" s="57"/>
    </row>
    <row r="16" spans="1:8" ht="15" customHeight="1">
      <c r="A16" t="s">
        <v>344</v>
      </c>
      <c r="B16" s="57"/>
      <c r="C16" s="57"/>
      <c r="D16" s="57"/>
      <c r="E16" s="57"/>
      <c r="F16" s="57"/>
      <c r="G16" s="57"/>
      <c r="H16" s="57"/>
    </row>
    <row r="17" spans="1:8" ht="15" customHeight="1">
      <c r="B17" s="57"/>
      <c r="C17" s="57"/>
      <c r="D17" s="57"/>
      <c r="E17" s="57"/>
      <c r="F17" s="57"/>
      <c r="G17" s="57"/>
      <c r="H17" s="57"/>
    </row>
    <row r="18" spans="1:8" ht="13.7" customHeight="1">
      <c r="B18" s="6"/>
      <c r="C18" s="6"/>
      <c r="D18" s="6"/>
      <c r="E18" s="6"/>
      <c r="F18" s="6"/>
      <c r="G18" s="6"/>
      <c r="H18" s="6"/>
    </row>
    <row r="19" spans="1:8" ht="13.7" customHeight="1">
      <c r="A19" s="21" t="s">
        <v>345</v>
      </c>
      <c r="B19" s="42"/>
      <c r="C19" s="57"/>
      <c r="D19" s="57"/>
      <c r="E19" s="57"/>
      <c r="F19" s="57"/>
      <c r="G19" s="57"/>
      <c r="H19" s="57"/>
    </row>
    <row r="20" spans="1:8" ht="15" customHeight="1">
      <c r="A20" t="s">
        <v>346</v>
      </c>
      <c r="B20" s="57"/>
      <c r="C20" s="57"/>
      <c r="D20" s="57"/>
      <c r="E20" s="57"/>
      <c r="F20" s="57"/>
      <c r="G20" s="57"/>
      <c r="H20" s="57"/>
    </row>
    <row r="21" spans="1:8" ht="15.75" customHeight="1">
      <c r="B21" s="57"/>
      <c r="C21" s="57"/>
      <c r="D21" s="57"/>
      <c r="E21" s="57"/>
      <c r="F21" s="57"/>
      <c r="G21" s="57"/>
      <c r="H21" s="57"/>
    </row>
    <row r="22" spans="1:8" ht="15.75" customHeight="1">
      <c r="B22" s="6"/>
      <c r="C22" s="6"/>
      <c r="D22" s="6"/>
      <c r="E22" s="6"/>
      <c r="F22" s="6"/>
      <c r="G22" s="6"/>
      <c r="H22" s="6"/>
    </row>
    <row r="23" spans="1:8" ht="15.75" customHeight="1">
      <c r="A23" s="21" t="s">
        <v>347</v>
      </c>
      <c r="B23" s="42"/>
      <c r="C23" s="57"/>
      <c r="D23" s="57"/>
      <c r="E23" s="57"/>
      <c r="F23" s="57"/>
      <c r="G23" s="57"/>
      <c r="H23" s="57"/>
    </row>
    <row r="24" spans="1:8" ht="15.75" customHeight="1">
      <c r="A24" t="s">
        <v>348</v>
      </c>
      <c r="B24" s="57"/>
      <c r="C24" s="57"/>
      <c r="D24" s="57"/>
      <c r="E24" s="57"/>
      <c r="F24" s="57"/>
      <c r="G24" s="57"/>
      <c r="H24" s="57"/>
    </row>
    <row r="25" spans="1:8" ht="15.75" customHeight="1">
      <c r="B25" s="57"/>
      <c r="C25" s="57"/>
      <c r="D25" s="57"/>
      <c r="E25" s="57"/>
      <c r="F25" s="57"/>
      <c r="G25" s="57"/>
      <c r="H25" s="57"/>
    </row>
    <row r="26" spans="1:8" ht="15.75" customHeight="1">
      <c r="B26" s="6"/>
      <c r="C26" s="6"/>
      <c r="D26" s="6"/>
      <c r="E26" s="6"/>
      <c r="F26" s="6"/>
      <c r="G26" s="6"/>
      <c r="H26" s="6"/>
    </row>
    <row r="27" spans="1:8" ht="15.75" customHeight="1">
      <c r="A27" s="21" t="s">
        <v>349</v>
      </c>
      <c r="B27" s="42"/>
      <c r="C27" s="57"/>
      <c r="D27" s="57"/>
      <c r="E27" s="57"/>
      <c r="F27" s="57"/>
      <c r="G27" s="57"/>
      <c r="H27" s="57"/>
    </row>
    <row r="28" spans="1:8" ht="15.75" customHeight="1">
      <c r="A28" t="s">
        <v>350</v>
      </c>
      <c r="B28" s="57"/>
      <c r="C28" s="57"/>
      <c r="D28" s="57"/>
      <c r="E28" s="57"/>
      <c r="F28" s="57"/>
      <c r="G28" s="57"/>
      <c r="H28" s="57"/>
    </row>
    <row r="29" spans="1:8" ht="15.75" customHeight="1">
      <c r="B29" s="57"/>
      <c r="C29" s="57"/>
      <c r="D29" s="57"/>
      <c r="E29" s="57"/>
      <c r="F29" s="57"/>
      <c r="G29" s="57"/>
      <c r="H29" s="57"/>
    </row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H1"/>
    <mergeCell ref="B15:H17"/>
    <mergeCell ref="B27:H29"/>
    <mergeCell ref="E5:H6"/>
    <mergeCell ref="A12:H12"/>
    <mergeCell ref="A4:H4"/>
    <mergeCell ref="B23:H25"/>
    <mergeCell ref="A2:H2"/>
    <mergeCell ref="B19:H21"/>
  </mergeCells>
  <dataValidations count="1">
    <dataValidation type="list" allowBlank="1" sqref="B13" xr:uid="{00000000-0002-0000-0800-000000000000}">
      <formula1>"Aprovar,Aprovar com condições,Revisar,Rejeitar"</formula1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6ADC887CB399419183B1809ACF3F84" ma:contentTypeVersion="11" ma:contentTypeDescription="Crie um novo documento." ma:contentTypeScope="" ma:versionID="adffce91f8aa5144067deab7860b1440">
  <xsd:schema xmlns:xsd="http://www.w3.org/2001/XMLSchema" xmlns:xs="http://www.w3.org/2001/XMLSchema" xmlns:p="http://schemas.microsoft.com/office/2006/metadata/properties" xmlns:ns2="2f40636d-9e20-4272-936d-82e6a04490ee" xmlns:ns3="6f877391-de6e-41f5-8cd4-3dc0a0faad3d" targetNamespace="http://schemas.microsoft.com/office/2006/metadata/properties" ma:root="true" ma:fieldsID="4efe28d6c510fc5ad54977675790f205" ns2:_="" ns3:_="">
    <xsd:import namespace="2f40636d-9e20-4272-936d-82e6a04490ee"/>
    <xsd:import namespace="6f877391-de6e-41f5-8cd4-3dc0a0faa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636d-9e20-4272-936d-82e6a04490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77391-de6e-41f5-8cd4-3dc0a0faad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32cd49-5abc-4afb-9730-350c8fba1666}" ma:internalName="TaxCatchAll" ma:showField="CatchAllData" ma:web="6f877391-de6e-41f5-8cd4-3dc0a0faa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40636d-9e20-4272-936d-82e6a04490ee">
      <Terms xmlns="http://schemas.microsoft.com/office/infopath/2007/PartnerControls"/>
    </lcf76f155ced4ddcb4097134ff3c332f>
    <TaxCatchAll xmlns="6f877391-de6e-41f5-8cd4-3dc0a0faad3d" xsi:nil="true"/>
  </documentManagement>
</p:properties>
</file>

<file path=customXml/itemProps1.xml><?xml version="1.0" encoding="utf-8"?>
<ds:datastoreItem xmlns:ds="http://schemas.openxmlformats.org/officeDocument/2006/customXml" ds:itemID="{7FBBDEFB-4398-474D-8994-5649444BAEEA}"/>
</file>

<file path=customXml/itemProps2.xml><?xml version="1.0" encoding="utf-8"?>
<ds:datastoreItem xmlns:ds="http://schemas.openxmlformats.org/officeDocument/2006/customXml" ds:itemID="{183F01F3-6F93-40FE-94E4-6828F38695A7}"/>
</file>

<file path=customXml/itemProps3.xml><?xml version="1.0" encoding="utf-8"?>
<ds:datastoreItem xmlns:ds="http://schemas.openxmlformats.org/officeDocument/2006/customXml" ds:itemID="{B9D5A3EE-ED38-4BD5-A2DC-3D28B35E4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2026-08-30T00:02:16Z</dcterms:created>
  <dcterms:modified xsi:type="dcterms:W3CDTF">2026-09-09T00:53:20Z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0x0101000E6ADC887CB399419183B1809ACF3F84</vt:lpwstr>
  </property>
  <property fmtid="{D5CDD505-2E9C-101B-9397-08002B2CF9AE}" pid="3" name="MediaServiceImageTags">
    <vt:lpwstr/>
  </property>
</Properties>
</file>