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staxa-my.sharepoint.com/personal/gsantos_destaxa_com_br/Documents/Documentos/TCC/docs/tcc/BC/"/>
    </mc:Choice>
  </mc:AlternateContent>
  <xr:revisionPtr revIDLastSave="1" documentId="11_21F4F0A5CF65CAD092A0C15CE202BBFC5AF122DB" xr6:coauthVersionLast="47" xr6:coauthVersionMax="47" xr10:uidLastSave="{4F1D0F1E-C458-4E4D-9C8A-DA79FA53E98D}"/>
  <bookViews>
    <workbookView xWindow="-110" yWindow="-110" windowWidth="19420" windowHeight="11500" xr2:uid="{00000000-000D-0000-FFFF-FFFF00000000}"/>
  </bookViews>
  <sheets>
    <sheet name="Fluxo de Cai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1" l="1"/>
  <c r="F83" i="1"/>
  <c r="E83" i="1"/>
  <c r="D83" i="1"/>
  <c r="G81" i="1"/>
  <c r="F81" i="1"/>
  <c r="E81" i="1"/>
  <c r="D81" i="1"/>
  <c r="C80" i="1"/>
  <c r="H80" i="1" s="1"/>
  <c r="G75" i="1"/>
  <c r="F75" i="1"/>
  <c r="E75" i="1"/>
  <c r="D75" i="1"/>
  <c r="C70" i="1"/>
  <c r="H70" i="1" s="1"/>
  <c r="G65" i="1"/>
  <c r="F65" i="1"/>
  <c r="E65" i="1"/>
  <c r="D65" i="1"/>
  <c r="C60" i="1"/>
  <c r="G57" i="1"/>
  <c r="F57" i="1"/>
  <c r="E57" i="1"/>
  <c r="D57" i="1"/>
  <c r="N40" i="1"/>
  <c r="M40" i="1"/>
  <c r="L40" i="1"/>
  <c r="K40" i="1"/>
  <c r="J40" i="1"/>
  <c r="I40" i="1"/>
  <c r="H40" i="1"/>
  <c r="N38" i="1"/>
  <c r="M38" i="1"/>
  <c r="L38" i="1"/>
  <c r="K38" i="1"/>
  <c r="J38" i="1"/>
  <c r="I38" i="1"/>
  <c r="H38" i="1"/>
  <c r="G38" i="1"/>
  <c r="F38" i="1"/>
  <c r="E38" i="1"/>
  <c r="D38" i="1"/>
  <c r="C38" i="1"/>
  <c r="O38" i="1" s="1"/>
  <c r="O37" i="1"/>
  <c r="O36" i="1"/>
  <c r="C79" i="1" s="1"/>
  <c r="H79" i="1" s="1"/>
  <c r="O35" i="1"/>
  <c r="C78" i="1" s="1"/>
  <c r="N32" i="1"/>
  <c r="M32" i="1"/>
  <c r="L32" i="1"/>
  <c r="K32" i="1"/>
  <c r="J32" i="1"/>
  <c r="I32" i="1"/>
  <c r="H32" i="1"/>
  <c r="G32" i="1"/>
  <c r="F32" i="1"/>
  <c r="E32" i="1"/>
  <c r="D32" i="1"/>
  <c r="C32" i="1"/>
  <c r="O32" i="1" s="1"/>
  <c r="B47" i="1" s="1"/>
  <c r="O31" i="1"/>
  <c r="C74" i="1" s="1"/>
  <c r="H74" i="1" s="1"/>
  <c r="O30" i="1"/>
  <c r="C73" i="1" s="1"/>
  <c r="H73" i="1" s="1"/>
  <c r="O29" i="1"/>
  <c r="C72" i="1" s="1"/>
  <c r="H72" i="1" s="1"/>
  <c r="O28" i="1"/>
  <c r="C71" i="1" s="1"/>
  <c r="H71" i="1" s="1"/>
  <c r="O27" i="1"/>
  <c r="O26" i="1"/>
  <c r="C69" i="1" s="1"/>
  <c r="H69" i="1" s="1"/>
  <c r="O25" i="1"/>
  <c r="C68" i="1" s="1"/>
  <c r="N22" i="1"/>
  <c r="M22" i="1"/>
  <c r="L22" i="1"/>
  <c r="K22" i="1"/>
  <c r="J22" i="1"/>
  <c r="I22" i="1"/>
  <c r="H22" i="1"/>
  <c r="G22" i="1"/>
  <c r="F22" i="1"/>
  <c r="E22" i="1"/>
  <c r="D22" i="1"/>
  <c r="C22" i="1"/>
  <c r="O22" i="1" s="1"/>
  <c r="B46" i="1" s="1"/>
  <c r="O21" i="1"/>
  <c r="C64" i="1" s="1"/>
  <c r="H64" i="1" s="1"/>
  <c r="O20" i="1"/>
  <c r="C63" i="1" s="1"/>
  <c r="H63" i="1" s="1"/>
  <c r="O19" i="1"/>
  <c r="C62" i="1" s="1"/>
  <c r="H62" i="1" s="1"/>
  <c r="O18" i="1"/>
  <c r="C61" i="1" s="1"/>
  <c r="H61" i="1" s="1"/>
  <c r="O17" i="1"/>
  <c r="O14" i="1"/>
  <c r="B45" i="1" s="1"/>
  <c r="N14" i="1"/>
  <c r="M14" i="1"/>
  <c r="L14" i="1"/>
  <c r="K14" i="1"/>
  <c r="J14" i="1"/>
  <c r="I14" i="1"/>
  <c r="H14" i="1"/>
  <c r="G14" i="1"/>
  <c r="G40" i="1" s="1"/>
  <c r="F14" i="1"/>
  <c r="F40" i="1" s="1"/>
  <c r="E14" i="1"/>
  <c r="E40" i="1" s="1"/>
  <c r="D14" i="1"/>
  <c r="D40" i="1" s="1"/>
  <c r="C14" i="1"/>
  <c r="C40" i="1" s="1"/>
  <c r="O13" i="1"/>
  <c r="C56" i="1" s="1"/>
  <c r="H56" i="1" s="1"/>
  <c r="O12" i="1"/>
  <c r="C55" i="1" s="1"/>
  <c r="H55" i="1" s="1"/>
  <c r="O11" i="1"/>
  <c r="C54" i="1" s="1"/>
  <c r="H54" i="1" s="1"/>
  <c r="O10" i="1"/>
  <c r="C53" i="1" s="1"/>
  <c r="C65" i="1" l="1"/>
  <c r="H65" i="1" s="1"/>
  <c r="H53" i="1"/>
  <c r="C57" i="1"/>
  <c r="O40" i="1"/>
  <c r="C41" i="1"/>
  <c r="H78" i="1"/>
  <c r="C81" i="1"/>
  <c r="H81" i="1" s="1"/>
  <c r="H68" i="1"/>
  <c r="C75" i="1"/>
  <c r="H75" i="1" s="1"/>
  <c r="H60" i="1"/>
  <c r="D41" i="1" l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E45" i="1"/>
  <c r="H57" i="1"/>
  <c r="C83" i="1"/>
  <c r="H83" i="1" l="1"/>
  <c r="C84" i="1"/>
  <c r="D84" i="1" s="1"/>
  <c r="E84" i="1" s="1"/>
  <c r="F84" i="1" s="1"/>
  <c r="G84" i="1" s="1"/>
  <c r="H84" i="1" s="1"/>
  <c r="E46" i="1"/>
  <c r="O41" i="1"/>
</calcChain>
</file>

<file path=xl/sharedStrings.xml><?xml version="1.0" encoding="utf-8"?>
<sst xmlns="http://schemas.openxmlformats.org/spreadsheetml/2006/main" count="138" uniqueCount="85">
  <si>
    <t>FLUXO DE CAIXA — TEMPLATE DO BUSINESS CASE</t>
  </si>
  <si>
    <t>Objetivo: transformar os investimentos, despesas e receitas já estimados em um cronograma de entradas e saídas de caixa.</t>
  </si>
  <si>
    <t>PREMISSA</t>
  </si>
  <si>
    <t>VALOR</t>
  </si>
  <si>
    <t>INSTRUÇÕES: revise todos os itens marcados como EXEMPLO; substitua, inclua ou zere conforme o projeto. Preencha entradas, CAPEX e OPEX como valores positivos. O Fluxo Líquido fará as subtrações automaticamente. Itens Não Caixa são informativos e não reduzem o caixa. Se inserir/excluir linhas, revise as fórmulas dos totais.</t>
  </si>
  <si>
    <t>Mês previsto de go-live</t>
  </si>
  <si>
    <t>ANO 1 — VISÃO MENSAL</t>
  </si>
  <si>
    <t>Item / classificação</t>
  </si>
  <si>
    <t>Premissa / observação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</si>
  <si>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</si>
  <si>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</si>
  <si>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</si>
  <si>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</si>
  <si>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</si>
  <si>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</si>
  <si>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</si>
  <si>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</si>
  <si>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</si>
  <si>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</si>
  <si>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</si>
  <si>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</si>
  <si>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Ano 1</t>
  </si>
  <si>
    <t>1. ENTRADAS DE CAIXA</t>
  </si>
  <si>
    <t>EXEMPLO — Receita principal</t>
  </si>
  <si>
    <t>Substituir pela principal fonte de receita do projeto</t>
  </si>
  <si>
    <t>EXEMPLO — Receita adicional</t>
  </si>
  <si>
    <t>Ex.: segunda fonte de receita, upsell ou taxa</t>
  </si>
  <si>
    <t>EXEMPLO — Subsídio / incentivo / aporte</t>
  </si>
  <si>
    <t>Usar apenas se houver entrada real de caixa</t>
  </si>
  <si>
    <t>EXEMPLO — Outra entrada</t>
  </si>
  <si>
    <t>Revisar: substituir, incluir ou zerar</t>
  </si>
  <si>
    <t>TOTAL — ENTRADAS DE CAIXA</t>
  </si>
  <si>
    <t>2. INVESTIMENTOS — CAPEX</t>
  </si>
  <si>
    <t>EXEMPLO — Desenvolvimento da solução</t>
  </si>
  <si>
    <t>Distribuir conforme cronograma de execução/pagamento</t>
  </si>
  <si>
    <t>EXEMPLO — Implantação / setup</t>
  </si>
  <si>
    <t>Informar no(s) mês(es) de desembolso</t>
  </si>
  <si>
    <t>EXEMPLO — Equipamentos / hardware</t>
  </si>
  <si>
    <t>Revisar quantidade, momento da compra e pagamento</t>
  </si>
  <si>
    <t>EXEMPLO — Software / licença perpétua</t>
  </si>
  <si>
    <t>Usar somente quando houver tratamento como investimento</t>
  </si>
  <si>
    <t>EXEMPLO — Outro investimento</t>
  </si>
  <si>
    <t>TOTAL — CAPEX</t>
  </si>
  <si>
    <t>3. DESPESAS OPERACIONAIS — OPEX</t>
  </si>
  <si>
    <t>EXEMPLO — Pessoas / operação</t>
  </si>
  <si>
    <t>Informar quando o custo inicia e se permanece recorrente</t>
  </si>
  <si>
    <t>EXEMPLO — Cloud / infraestrutura</t>
  </si>
  <si>
    <t>Mensal, variável ou escalonado conforme uso</t>
  </si>
  <si>
    <t>EXEMPLO — Licenças / assinaturas</t>
  </si>
  <si>
    <t>Validar início da cobrança e periodicidade</t>
  </si>
  <si>
    <t>EXEMPLO — Suporte / sustentação</t>
  </si>
  <si>
    <t>Normalmente inicia no go-live ou após implantação</t>
  </si>
  <si>
    <t>EXEMPLO — Marketing / aquisição</t>
  </si>
  <si>
    <t>Pode ser pontual, recorrente ou variável</t>
  </si>
  <si>
    <t>EXEMPLO — Serviços de terceiros</t>
  </si>
  <si>
    <t>Revisar periodicidade e duração</t>
  </si>
  <si>
    <t>EXEMPLO — Outro OPEX</t>
  </si>
  <si>
    <t>TOTAL — OPEX</t>
  </si>
  <si>
    <t>4. ITENS SEM MOVIMENTAÇÃO DE CAIXA — NÃO CAIXA</t>
  </si>
  <si>
    <t>EXEMPLO — Depreciação</t>
  </si>
  <si>
    <t>Informativo: não representa novo desembolso</t>
  </si>
  <si>
    <t>EXEMPLO — Amortização</t>
  </si>
  <si>
    <t>EXEMPLO — Outro item não caixa</t>
  </si>
  <si>
    <t>Usar somente se fizer sentido no projeto</t>
  </si>
  <si>
    <t>TOTAL — ITENS NÃO CAIXA (INFORMATIVO)</t>
  </si>
  <si>
    <t>FLUXO LÍQUIDO DO MÊS</t>
  </si>
  <si>
    <t>FLUXO ACUMULADO</t>
  </si>
  <si>
    <t>CHECKS DO ANO 1</t>
  </si>
  <si>
    <t>Indicador</t>
  </si>
  <si>
    <t>Valor</t>
  </si>
  <si>
    <t>Total de Entradas</t>
  </si>
  <si>
    <t>Maior necessidade de caixa</t>
  </si>
  <si>
    <t>Total CAPEX</t>
  </si>
  <si>
    <t>Saldo ao final do Ano 1</t>
  </si>
  <si>
    <t>Total OPEX</t>
  </si>
  <si>
    <t>VISÃO CONSOLIDADA — ANOS 1 A 5</t>
  </si>
  <si>
    <t>Ano 1
(auto)</t>
  </si>
  <si>
    <t>Ano 2</t>
  </si>
  <si>
    <t>Ano 3</t>
  </si>
  <si>
    <t>Ano 4</t>
  </si>
  <si>
    <t>Ano 5</t>
  </si>
  <si>
    <t>Total 5 anos</t>
  </si>
  <si>
    <t>Revisar premissa e valor para os anos seguintes</t>
  </si>
  <si>
    <t>FLUXO LÍQUIDO DO ANO</t>
  </si>
  <si>
    <t>VALIDAÇÃO FINAL: (1) Total CAPEX deve reconciliar com a aba de Investimentos; (2) Entradas devem reconciliar com a Projeção de Receitas; (3) custos recorrentes devem continuar nos anos seguintes quando aplicável; (4) itens Não Caixa não entram no Fluxo Líquido; (5) revise os itens EXEMPLO antes de entregar o Business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</si>
</sst>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;[Red]\(\R\$\ #,##0\);\-"/>
  </numFmts>
  <fonts count="13">
    <font>
      <sz val="11"/>
      <name val="Carlito"/>
    </font>
    <font>
      <b/>
      <sz val="16"/>
      <color rgb="FFFFFFFF"/>
      <name val="Aptos"/>
    </font>
    <font>
      <i/>
      <sz val="11"/>
      <color rgb="FF595959"/>
      <name val="Aptos"/>
    </font>
    <font>
      <sz val="11"/>
      <name val="Aptos"/>
    </font>
    <font>
      <b/>
      <sz val="11"/>
      <color rgb="FFFFFFFF"/>
      <name val="Aptos"/>
    </font>
    <font>
      <sz val="10"/>
      <color rgb="FF595959"/>
      <name val="Aptos"/>
    </font>
    <font>
      <b/>
      <sz val="11"/>
      <color rgb="FF0000FF"/>
      <name val="Aptos"/>
    </font>
    <font>
      <b/>
      <sz val="13"/>
      <color rgb="FFFFFFFF"/>
      <name val="Aptos"/>
    </font>
    <font>
      <sz val="11"/>
      <color rgb="FF0000FF"/>
      <name val="Aptos"/>
    </font>
    <font>
      <sz val="11"/>
      <color rgb="FF000000"/>
      <name val="Aptos"/>
    </font>
    <font>
      <b/>
      <sz val="11"/>
      <color rgb="FF000000"/>
      <name val="Aptos"/>
    </font>
    <font>
      <b/>
      <sz val="11"/>
      <name val="Aptos"/>
    </font>
    <font>
      <sz val="11"/>
      <color rgb="FF008000"/>
      <name val="Aptos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BF9000"/>
      </patternFill>
    </fill>
    <fill>
      <patternFill patternType="solid">
        <fgColor rgb="FF7F8C8D"/>
      </patternFill>
    </fill>
    <fill>
      <patternFill patternType="solid">
        <fgColor rgb="FF595959"/>
      </patternFill>
    </fill>
  </fills>
  <borders count="4">
    <border>
      <left/>
      <right/>
      <top/>
      <bottom/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17365D"/>
      </top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8" fillId="8" borderId="0" xfId="0" applyFont="1" applyFill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10" fillId="9" borderId="1" xfId="0" applyNumberFormat="1" applyFont="1" applyFill="1" applyBorder="1" applyAlignment="1">
      <alignment vertical="center"/>
    </xf>
    <xf numFmtId="164" fontId="10" fillId="11" borderId="1" xfId="0" applyNumberFormat="1" applyFont="1" applyFill="1" applyBorder="1" applyAlignment="1">
      <alignment vertical="center"/>
    </xf>
    <xf numFmtId="164" fontId="10" fillId="8" borderId="1" xfId="0" applyNumberFormat="1" applyFont="1" applyFill="1" applyBorder="1" applyAlignment="1">
      <alignment vertical="center"/>
    </xf>
    <xf numFmtId="164" fontId="10" fillId="5" borderId="1" xfId="0" applyNumberFormat="1" applyFont="1" applyFill="1" applyBorder="1" applyAlignment="1">
      <alignment vertical="center"/>
    </xf>
    <xf numFmtId="164" fontId="10" fillId="3" borderId="2" xfId="0" applyNumberFormat="1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164" fontId="10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10" fillId="3" borderId="3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7" fillId="2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164" fontId="10" fillId="9" borderId="1" xfId="0" applyNumberFormat="1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164" fontId="10" fillId="11" borderId="1" xfId="0" applyNumberFormat="1" applyFont="1" applyFill="1" applyBorder="1" applyAlignment="1">
      <alignment vertical="center"/>
    </xf>
    <xf numFmtId="0" fontId="4" fillId="12" borderId="0" xfId="0" applyFont="1" applyFill="1" applyAlignment="1">
      <alignment vertical="center"/>
    </xf>
    <xf numFmtId="164" fontId="10" fillId="8" borderId="1" xfId="0" applyNumberFormat="1" applyFont="1" applyFill="1" applyBorder="1" applyAlignment="1">
      <alignment vertical="center"/>
    </xf>
    <xf numFmtId="0" fontId="4" fillId="13" borderId="0" xfId="0" applyFont="1" applyFill="1" applyAlignment="1">
      <alignment vertical="center"/>
    </xf>
    <xf numFmtId="164" fontId="10" fillId="5" borderId="1" xfId="0" applyNumberFormat="1" applyFont="1" applyFill="1" applyBorder="1" applyAlignment="1">
      <alignment vertical="center"/>
    </xf>
    <xf numFmtId="164" fontId="10" fillId="3" borderId="2" xfId="0" applyNumberFormat="1" applyFont="1" applyFill="1" applyBorder="1" applyAlignment="1">
      <alignment vertical="center"/>
    </xf>
    <xf numFmtId="164" fontId="10" fillId="3" borderId="3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t>Ano 1 — Fluxo Líquido e Acumulado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Caixa'!$D$40:$D$41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32-43FB-BFD4-33994B4344CA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Caixa'!$E$40:$E$41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32-43FB-BFD4-33994B4344CA}"/>
            </c:ext>
          </c:extLst>
        </c:ser>
        <c:ser>
          <c:idx val="2"/>
          <c:order val="2"/>
          <c:tx>
            <c:v>Series 3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Caixa'!$F$40:$F$41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932-43FB-BFD4-33994B4344CA}"/>
            </c:ext>
          </c:extLst>
        </c:ser>
        <c:ser>
          <c:idx val="3"/>
          <c:order val="3"/>
          <c:tx>
            <c:v>Series 4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Caixa'!$G$40:$G$41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932-43FB-BFD4-33994B4344CA}"/>
            </c:ext>
          </c:extLst>
        </c:ser>
        <c:ser>
          <c:idx val="4"/>
          <c:order val="4"/>
          <c:tx>
            <c:v>Series 5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Caixa'!$H$40:$H$41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932-43FB-BFD4-33994B4344CA}"/>
            </c:ext>
          </c:extLst>
        </c:ser>
        <c:ser>
          <c:idx val="5"/>
          <c:order val="5"/>
          <c:tx>
            <c:v>Series 6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Caixa'!$I$40:$I$41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932-43FB-BFD4-33994B4344CA}"/>
            </c:ext>
          </c:extLst>
        </c:ser>
        <c:ser>
          <c:idx val="6"/>
          <c:order val="6"/>
          <c:tx>
            <c:v>Series 7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Caixa'!$J$40:$J$41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932-43FB-BFD4-33994B4344CA}"/>
            </c:ext>
          </c:extLst>
        </c:ser>
        <c:ser>
          <c:idx val="7"/>
          <c:order val="7"/>
          <c:tx>
            <c:v>Series 8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Caixa'!$K$40:$K$41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932-43FB-BFD4-33994B4344CA}"/>
            </c:ext>
          </c:extLst>
        </c:ser>
        <c:ser>
          <c:idx val="8"/>
          <c:order val="8"/>
          <c:tx>
            <c:v>Series 9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Caixa'!$L$40:$L$41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932-43FB-BFD4-33994B4344CA}"/>
            </c:ext>
          </c:extLst>
        </c:ser>
        <c:ser>
          <c:idx val="9"/>
          <c:order val="9"/>
          <c:tx>
            <c:v>Series 10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Caixa'!$M$40:$M$41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932-43FB-BFD4-33994B4344CA}"/>
            </c:ext>
          </c:extLst>
        </c:ser>
        <c:ser>
          <c:idx val="10"/>
          <c:order val="10"/>
          <c:tx>
            <c:v>Series 11</c:v>
          </c:tx>
          <c:marker>
            <c:symbol val="none"/>
          </c:marker>
          <c:cat>
            <c:numRef>
              <c:f>'Fluxo de Caixa'!$C$40:$C$41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'Fluxo de Caixa'!$N$40:$N$41</c:f>
              <c:numCache>
                <c:formatCode>\R\$\ #,##0;[Red]\(\R\$\ 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932-43FB-BFD4-33994B434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;[Red]\(\R\$\ 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43</xdr:row>
      <xdr:rowOff>0</xdr:rowOff>
    </xdr:from>
    <xdr:to>
      <xdr:col>15</xdr:col>
      <xdr:colOff>0</xdr:colOff>
      <xdr:row>58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A18" workbookViewId="0">
      <selection activeCell="O8" sqref="O8"/>
    </sheetView>
  </sheetViews>
  <sheetFormatPr defaultRowHeight="14"/>
  <cols>
    <col min="1" max="1" width="34" customWidth="1"/>
    <col min="2" max="2" width="38" customWidth="1"/>
    <col min="3" max="8" width="15" customWidth="1"/>
    <col min="9" max="14" width="11" customWidth="1"/>
    <col min="15" max="15" width="14" customWidth="1"/>
  </cols>
  <sheetData>
    <row r="1" spans="1:15" ht="20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ht="17.399999999999999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14.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4.5">
      <c r="A4" s="6" t="s">
        <v>2</v>
      </c>
      <c r="B4" s="6" t="s">
        <v>3</v>
      </c>
      <c r="C4" s="5"/>
      <c r="D4" s="22" t="s">
        <v>4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5" ht="14.5">
      <c r="A5" s="5" t="s">
        <v>5</v>
      </c>
      <c r="B5" s="7">
        <v>5</v>
      </c>
      <c r="C5" s="5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5" ht="14.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7">
      <c r="A7" s="23" t="s">
        <v>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5" ht="18.649999999999999" customHeight="1">
      <c r="A8" s="1" t="s">
        <v>7</v>
      </c>
      <c r="B8" s="1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</row>
    <row r="9" spans="1:15" ht="14.5">
      <c r="A9" s="24" t="s">
        <v>22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5" ht="29">
      <c r="A10" s="8" t="s">
        <v>23</v>
      </c>
      <c r="B10" s="8" t="s">
        <v>24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>
        <f>SUM(C10:N10)</f>
        <v>0</v>
      </c>
    </row>
    <row r="11" spans="1:15" ht="14.5">
      <c r="A11" s="8" t="s">
        <v>25</v>
      </c>
      <c r="B11" s="8" t="s">
        <v>26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>
        <f>SUM(C11:N11)</f>
        <v>0</v>
      </c>
    </row>
    <row r="12" spans="1:15" ht="14.5">
      <c r="A12" s="8" t="s">
        <v>27</v>
      </c>
      <c r="B12" s="8" t="s">
        <v>28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>
        <f>SUM(C12:N12)</f>
        <v>0</v>
      </c>
    </row>
    <row r="13" spans="1:15" ht="14.5">
      <c r="A13" s="8" t="s">
        <v>29</v>
      </c>
      <c r="B13" s="8" t="s">
        <v>30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>
        <f>SUM(C13:N13)</f>
        <v>0</v>
      </c>
    </row>
    <row r="14" spans="1:15" ht="14.5">
      <c r="A14" s="25" t="s">
        <v>31</v>
      </c>
      <c r="B14" s="25"/>
      <c r="C14" s="11">
        <f t="shared" ref="C14:N14" si="0">SUM(C10:C13)</f>
        <v>0</v>
      </c>
      <c r="D14" s="11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  <c r="H14" s="11">
        <f t="shared" si="0"/>
        <v>0</v>
      </c>
      <c r="I14" s="11">
        <f t="shared" si="0"/>
        <v>0</v>
      </c>
      <c r="J14" s="11">
        <f t="shared" si="0"/>
        <v>0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1">
        <f t="shared" si="0"/>
        <v>0</v>
      </c>
      <c r="O14" s="11">
        <f>SUM(C14:N14)</f>
        <v>0</v>
      </c>
    </row>
    <row r="15" spans="1:15" ht="14.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4.5">
      <c r="A16" s="26" t="s">
        <v>32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1:15" ht="29">
      <c r="A17" s="8" t="s">
        <v>33</v>
      </c>
      <c r="B17" s="8" t="s">
        <v>34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>
        <f t="shared" ref="O17:O22" si="1">SUM(C17:N17)</f>
        <v>0</v>
      </c>
    </row>
    <row r="18" spans="1:15" ht="14.5">
      <c r="A18" s="8" t="s">
        <v>35</v>
      </c>
      <c r="B18" s="8" t="s">
        <v>36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>
        <f t="shared" si="1"/>
        <v>0</v>
      </c>
    </row>
    <row r="19" spans="1:15" ht="29">
      <c r="A19" s="8" t="s">
        <v>37</v>
      </c>
      <c r="B19" s="8" t="s">
        <v>38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>
        <f t="shared" si="1"/>
        <v>0</v>
      </c>
    </row>
    <row r="20" spans="1:15" ht="29">
      <c r="A20" s="8" t="s">
        <v>39</v>
      </c>
      <c r="B20" s="8" t="s">
        <v>40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>
        <f t="shared" si="1"/>
        <v>0</v>
      </c>
    </row>
    <row r="21" spans="1:15" ht="14.5">
      <c r="A21" s="8" t="s">
        <v>41</v>
      </c>
      <c r="B21" s="8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>
        <f t="shared" si="1"/>
        <v>0</v>
      </c>
    </row>
    <row r="22" spans="1:15" ht="14.5">
      <c r="A22" s="27" t="s">
        <v>42</v>
      </c>
      <c r="B22" s="27"/>
      <c r="C22" s="12">
        <f t="shared" ref="C22:N22" si="2">SUM(C17:C21)</f>
        <v>0</v>
      </c>
      <c r="D22" s="12">
        <f t="shared" si="2"/>
        <v>0</v>
      </c>
      <c r="E22" s="12">
        <f t="shared" si="2"/>
        <v>0</v>
      </c>
      <c r="F22" s="12">
        <f t="shared" si="2"/>
        <v>0</v>
      </c>
      <c r="G22" s="12">
        <f t="shared" si="2"/>
        <v>0</v>
      </c>
      <c r="H22" s="12">
        <f t="shared" si="2"/>
        <v>0</v>
      </c>
      <c r="I22" s="12">
        <f t="shared" si="2"/>
        <v>0</v>
      </c>
      <c r="J22" s="12">
        <f t="shared" si="2"/>
        <v>0</v>
      </c>
      <c r="K22" s="12">
        <f t="shared" si="2"/>
        <v>0</v>
      </c>
      <c r="L22" s="12">
        <f t="shared" si="2"/>
        <v>0</v>
      </c>
      <c r="M22" s="12">
        <f t="shared" si="2"/>
        <v>0</v>
      </c>
      <c r="N22" s="12">
        <f t="shared" si="2"/>
        <v>0</v>
      </c>
      <c r="O22" s="12">
        <f t="shared" si="1"/>
        <v>0</v>
      </c>
    </row>
    <row r="23" spans="1:15" ht="14.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4.5">
      <c r="A24" s="28" t="s">
        <v>43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ht="29">
      <c r="A25" s="8" t="s">
        <v>44</v>
      </c>
      <c r="B25" s="8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>
        <f t="shared" ref="O25:O32" si="3">SUM(C25:N25)</f>
        <v>0</v>
      </c>
    </row>
    <row r="26" spans="1:15" ht="14.5">
      <c r="A26" s="8" t="s">
        <v>46</v>
      </c>
      <c r="B26" s="8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>
        <f t="shared" si="3"/>
        <v>0</v>
      </c>
    </row>
    <row r="27" spans="1:15" ht="14.5">
      <c r="A27" s="8" t="s">
        <v>48</v>
      </c>
      <c r="B27" s="8" t="s">
        <v>49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>
        <f t="shared" si="3"/>
        <v>0</v>
      </c>
    </row>
    <row r="28" spans="1:15" ht="29">
      <c r="A28" s="8" t="s">
        <v>50</v>
      </c>
      <c r="B28" s="8" t="s">
        <v>51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>
        <f t="shared" si="3"/>
        <v>0</v>
      </c>
    </row>
    <row r="29" spans="1:15" ht="14.5">
      <c r="A29" s="8" t="s">
        <v>52</v>
      </c>
      <c r="B29" s="8" t="s">
        <v>53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>
        <f t="shared" si="3"/>
        <v>0</v>
      </c>
    </row>
    <row r="30" spans="1:15" ht="14.5">
      <c r="A30" s="8" t="s">
        <v>54</v>
      </c>
      <c r="B30" s="8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>
        <f t="shared" si="3"/>
        <v>0</v>
      </c>
    </row>
    <row r="31" spans="1:15" ht="14.5">
      <c r="A31" s="8" t="s">
        <v>56</v>
      </c>
      <c r="B31" s="8" t="s">
        <v>30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>
        <f t="shared" si="3"/>
        <v>0</v>
      </c>
    </row>
    <row r="32" spans="1:15" ht="14.5">
      <c r="A32" s="29" t="s">
        <v>57</v>
      </c>
      <c r="B32" s="29"/>
      <c r="C32" s="13">
        <f t="shared" ref="C32:N32" si="4">SUM(C25:C31)</f>
        <v>0</v>
      </c>
      <c r="D32" s="13">
        <f t="shared" si="4"/>
        <v>0</v>
      </c>
      <c r="E32" s="13">
        <f t="shared" si="4"/>
        <v>0</v>
      </c>
      <c r="F32" s="13">
        <f t="shared" si="4"/>
        <v>0</v>
      </c>
      <c r="G32" s="13">
        <f t="shared" si="4"/>
        <v>0</v>
      </c>
      <c r="H32" s="13">
        <f t="shared" si="4"/>
        <v>0</v>
      </c>
      <c r="I32" s="13">
        <f t="shared" si="4"/>
        <v>0</v>
      </c>
      <c r="J32" s="13">
        <f t="shared" si="4"/>
        <v>0</v>
      </c>
      <c r="K32" s="13">
        <f t="shared" si="4"/>
        <v>0</v>
      </c>
      <c r="L32" s="13">
        <f t="shared" si="4"/>
        <v>0</v>
      </c>
      <c r="M32" s="13">
        <f t="shared" si="4"/>
        <v>0</v>
      </c>
      <c r="N32" s="13">
        <f t="shared" si="4"/>
        <v>0</v>
      </c>
      <c r="O32" s="13">
        <f t="shared" si="3"/>
        <v>0</v>
      </c>
    </row>
    <row r="33" spans="1:15" ht="14.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4.5">
      <c r="A34" s="30" t="s">
        <v>58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spans="1:15" ht="14.5">
      <c r="A35" s="8" t="s">
        <v>59</v>
      </c>
      <c r="B35" s="8" t="s">
        <v>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>
        <f>SUM(C35:N35)</f>
        <v>0</v>
      </c>
    </row>
    <row r="36" spans="1:15" ht="14.5">
      <c r="A36" s="8" t="s">
        <v>61</v>
      </c>
      <c r="B36" s="8" t="s">
        <v>60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>
        <f>SUM(C36:N36)</f>
        <v>0</v>
      </c>
    </row>
    <row r="37" spans="1:15" ht="14.5">
      <c r="A37" s="8" t="s">
        <v>62</v>
      </c>
      <c r="B37" s="8" t="s">
        <v>63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>
        <f>SUM(C37:N37)</f>
        <v>0</v>
      </c>
    </row>
    <row r="38" spans="1:15" ht="14.5">
      <c r="A38" s="31" t="s">
        <v>64</v>
      </c>
      <c r="B38" s="31"/>
      <c r="C38" s="14">
        <f t="shared" ref="C38:N38" si="5">SUM(C35:C37)</f>
        <v>0</v>
      </c>
      <c r="D38" s="14">
        <f t="shared" si="5"/>
        <v>0</v>
      </c>
      <c r="E38" s="14">
        <f t="shared" si="5"/>
        <v>0</v>
      </c>
      <c r="F38" s="14">
        <f t="shared" si="5"/>
        <v>0</v>
      </c>
      <c r="G38" s="14">
        <f t="shared" si="5"/>
        <v>0</v>
      </c>
      <c r="H38" s="14">
        <f t="shared" si="5"/>
        <v>0</v>
      </c>
      <c r="I38" s="14">
        <f t="shared" si="5"/>
        <v>0</v>
      </c>
      <c r="J38" s="14">
        <f t="shared" si="5"/>
        <v>0</v>
      </c>
      <c r="K38" s="14">
        <f t="shared" si="5"/>
        <v>0</v>
      </c>
      <c r="L38" s="14">
        <f t="shared" si="5"/>
        <v>0</v>
      </c>
      <c r="M38" s="14">
        <f t="shared" si="5"/>
        <v>0</v>
      </c>
      <c r="N38" s="14">
        <f t="shared" si="5"/>
        <v>0</v>
      </c>
      <c r="O38" s="14">
        <f>SUM(C38:N38)</f>
        <v>0</v>
      </c>
    </row>
    <row r="39" spans="1:15" ht="14.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14.5">
      <c r="A40" s="32" t="s">
        <v>65</v>
      </c>
      <c r="B40" s="32"/>
      <c r="C40" s="15">
        <f t="shared" ref="C40:N40" si="6">C14-C22-C32</f>
        <v>0</v>
      </c>
      <c r="D40" s="15">
        <f t="shared" si="6"/>
        <v>0</v>
      </c>
      <c r="E40" s="15">
        <f t="shared" si="6"/>
        <v>0</v>
      </c>
      <c r="F40" s="15">
        <f t="shared" si="6"/>
        <v>0</v>
      </c>
      <c r="G40" s="15">
        <f t="shared" si="6"/>
        <v>0</v>
      </c>
      <c r="H40" s="15">
        <f t="shared" si="6"/>
        <v>0</v>
      </c>
      <c r="I40" s="15">
        <f t="shared" si="6"/>
        <v>0</v>
      </c>
      <c r="J40" s="15">
        <f t="shared" si="6"/>
        <v>0</v>
      </c>
      <c r="K40" s="15">
        <f t="shared" si="6"/>
        <v>0</v>
      </c>
      <c r="L40" s="15">
        <f t="shared" si="6"/>
        <v>0</v>
      </c>
      <c r="M40" s="15">
        <f t="shared" si="6"/>
        <v>0</v>
      </c>
      <c r="N40" s="15">
        <f t="shared" si="6"/>
        <v>0</v>
      </c>
      <c r="O40" s="15">
        <f>SUM(C40:N40)</f>
        <v>0</v>
      </c>
    </row>
    <row r="41" spans="1:15" ht="14.5">
      <c r="A41" s="33" t="s">
        <v>66</v>
      </c>
      <c r="B41" s="33"/>
      <c r="C41" s="19">
        <f>C40</f>
        <v>0</v>
      </c>
      <c r="D41" s="19">
        <f t="shared" ref="D41:N41" si="7">C41+D40</f>
        <v>0</v>
      </c>
      <c r="E41" s="19">
        <f t="shared" si="7"/>
        <v>0</v>
      </c>
      <c r="F41" s="19">
        <f t="shared" si="7"/>
        <v>0</v>
      </c>
      <c r="G41" s="19">
        <f t="shared" si="7"/>
        <v>0</v>
      </c>
      <c r="H41" s="19">
        <f t="shared" si="7"/>
        <v>0</v>
      </c>
      <c r="I41" s="19">
        <f t="shared" si="7"/>
        <v>0</v>
      </c>
      <c r="J41" s="19">
        <f t="shared" si="7"/>
        <v>0</v>
      </c>
      <c r="K41" s="19">
        <f t="shared" si="7"/>
        <v>0</v>
      </c>
      <c r="L41" s="19">
        <f t="shared" si="7"/>
        <v>0</v>
      </c>
      <c r="M41" s="19">
        <f t="shared" si="7"/>
        <v>0</v>
      </c>
      <c r="N41" s="19">
        <f t="shared" si="7"/>
        <v>0</v>
      </c>
      <c r="O41" s="19">
        <f>N41</f>
        <v>0</v>
      </c>
    </row>
    <row r="42" spans="1:15" ht="14.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14.5">
      <c r="A43" s="34" t="s">
        <v>67</v>
      </c>
      <c r="B43" s="34"/>
      <c r="C43" s="34"/>
      <c r="D43" s="34"/>
      <c r="E43" s="34"/>
      <c r="F43" s="34"/>
      <c r="G43" s="5"/>
      <c r="H43" s="5"/>
      <c r="I43" s="5"/>
      <c r="J43" s="5"/>
      <c r="K43" s="5"/>
      <c r="L43" s="5"/>
      <c r="M43" s="5"/>
      <c r="N43" s="5"/>
      <c r="O43" s="5"/>
    </row>
    <row r="44" spans="1:15" ht="14.5">
      <c r="A44" s="16" t="s">
        <v>68</v>
      </c>
      <c r="B44" s="16" t="s">
        <v>69</v>
      </c>
      <c r="C44" s="5"/>
      <c r="D44" s="16" t="s">
        <v>68</v>
      </c>
      <c r="E44" s="16" t="s">
        <v>69</v>
      </c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14.5">
      <c r="A45" s="5" t="s">
        <v>70</v>
      </c>
      <c r="B45" s="17">
        <f>O14</f>
        <v>0</v>
      </c>
      <c r="C45" s="5"/>
      <c r="D45" s="5" t="s">
        <v>71</v>
      </c>
      <c r="E45" s="17">
        <f>-MIN(0,MIN(C41:N41))</f>
        <v>0</v>
      </c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14.5">
      <c r="A46" s="5" t="s">
        <v>72</v>
      </c>
      <c r="B46" s="17">
        <f>O22</f>
        <v>0</v>
      </c>
      <c r="C46" s="5"/>
      <c r="D46" s="5" t="s">
        <v>73</v>
      </c>
      <c r="E46" s="17">
        <f>N41</f>
        <v>0</v>
      </c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14.5">
      <c r="A47" s="5" t="s">
        <v>74</v>
      </c>
      <c r="B47" s="17">
        <f>O32</f>
        <v>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14.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14.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17">
      <c r="A50" s="23" t="s">
        <v>75</v>
      </c>
      <c r="B50" s="23"/>
      <c r="C50" s="23"/>
      <c r="D50" s="23"/>
      <c r="E50" s="23"/>
      <c r="F50" s="23"/>
      <c r="G50" s="23"/>
      <c r="H50" s="23"/>
      <c r="I50" s="5"/>
      <c r="J50" s="5"/>
      <c r="K50" s="5"/>
      <c r="L50" s="5"/>
      <c r="M50" s="5"/>
      <c r="N50" s="5"/>
      <c r="O50" s="5"/>
    </row>
    <row r="51" spans="1:15" ht="21.4" customHeight="1">
      <c r="A51" s="3" t="s">
        <v>7</v>
      </c>
      <c r="B51" s="3" t="s">
        <v>8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80</v>
      </c>
      <c r="H51" s="4" t="s">
        <v>81</v>
      </c>
      <c r="I51" s="5"/>
      <c r="J51" s="5"/>
      <c r="K51" s="5"/>
      <c r="L51" s="5"/>
      <c r="M51" s="5"/>
      <c r="N51" s="5"/>
      <c r="O51" s="5"/>
    </row>
    <row r="52" spans="1:15" ht="14.5">
      <c r="A52" s="24" t="s">
        <v>22</v>
      </c>
      <c r="B52" s="24"/>
      <c r="C52" s="24"/>
      <c r="D52" s="24"/>
      <c r="E52" s="24"/>
      <c r="F52" s="24"/>
      <c r="G52" s="24"/>
      <c r="H52" s="24"/>
      <c r="I52" s="5"/>
      <c r="J52" s="5"/>
      <c r="K52" s="5"/>
      <c r="L52" s="5"/>
      <c r="M52" s="5"/>
      <c r="N52" s="5"/>
      <c r="O52" s="5"/>
    </row>
    <row r="53" spans="1:15" ht="29">
      <c r="A53" s="8" t="s">
        <v>23</v>
      </c>
      <c r="B53" s="8" t="s">
        <v>82</v>
      </c>
      <c r="C53" s="18">
        <f>O10</f>
        <v>0</v>
      </c>
      <c r="D53" s="9"/>
      <c r="E53" s="9"/>
      <c r="F53" s="9"/>
      <c r="G53" s="9"/>
      <c r="H53" s="10">
        <f>SUM(C53:G53)</f>
        <v>0</v>
      </c>
      <c r="I53" s="5"/>
      <c r="J53" s="5"/>
      <c r="K53" s="5"/>
      <c r="L53" s="5"/>
      <c r="M53" s="5"/>
      <c r="N53" s="5"/>
      <c r="O53" s="5"/>
    </row>
    <row r="54" spans="1:15" ht="29">
      <c r="A54" s="8" t="s">
        <v>25</v>
      </c>
      <c r="B54" s="8" t="s">
        <v>82</v>
      </c>
      <c r="C54" s="18">
        <f>O11</f>
        <v>0</v>
      </c>
      <c r="D54" s="9"/>
      <c r="E54" s="9"/>
      <c r="F54" s="9"/>
      <c r="G54" s="9"/>
      <c r="H54" s="10">
        <f>SUM(C54:G54)</f>
        <v>0</v>
      </c>
      <c r="I54" s="5"/>
      <c r="J54" s="5"/>
      <c r="K54" s="5"/>
      <c r="L54" s="5"/>
      <c r="M54" s="5"/>
      <c r="N54" s="5"/>
      <c r="O54" s="5"/>
    </row>
    <row r="55" spans="1:15" ht="29">
      <c r="A55" s="8" t="s">
        <v>27</v>
      </c>
      <c r="B55" s="8" t="s">
        <v>82</v>
      </c>
      <c r="C55" s="18">
        <f>O12</f>
        <v>0</v>
      </c>
      <c r="D55" s="9"/>
      <c r="E55" s="9"/>
      <c r="F55" s="9"/>
      <c r="G55" s="9"/>
      <c r="H55" s="10">
        <f>SUM(C55:G55)</f>
        <v>0</v>
      </c>
      <c r="I55" s="5"/>
      <c r="J55" s="5"/>
      <c r="K55" s="5"/>
      <c r="L55" s="5"/>
      <c r="M55" s="5"/>
      <c r="N55" s="5"/>
      <c r="O55" s="5"/>
    </row>
    <row r="56" spans="1:15" ht="29">
      <c r="A56" s="8" t="s">
        <v>29</v>
      </c>
      <c r="B56" s="8" t="s">
        <v>82</v>
      </c>
      <c r="C56" s="18">
        <f>O13</f>
        <v>0</v>
      </c>
      <c r="D56" s="9"/>
      <c r="E56" s="9"/>
      <c r="F56" s="9"/>
      <c r="G56" s="9"/>
      <c r="H56" s="10">
        <f>SUM(C56:G56)</f>
        <v>0</v>
      </c>
      <c r="I56" s="5"/>
      <c r="J56" s="5"/>
      <c r="K56" s="5"/>
      <c r="L56" s="5"/>
      <c r="M56" s="5"/>
      <c r="N56" s="5"/>
      <c r="O56" s="5"/>
    </row>
    <row r="57" spans="1:15" ht="14.5">
      <c r="A57" s="25" t="s">
        <v>31</v>
      </c>
      <c r="B57" s="25"/>
      <c r="C57" s="11">
        <f>SUM(C53:C56)</f>
        <v>0</v>
      </c>
      <c r="D57" s="11">
        <f>SUM(D53:D56)</f>
        <v>0</v>
      </c>
      <c r="E57" s="11">
        <f>SUM(E53:E56)</f>
        <v>0</v>
      </c>
      <c r="F57" s="11">
        <f>SUM(F53:F56)</f>
        <v>0</v>
      </c>
      <c r="G57" s="11">
        <f>SUM(G53:G56)</f>
        <v>0</v>
      </c>
      <c r="H57" s="11">
        <f>SUM(C57:G57)</f>
        <v>0</v>
      </c>
      <c r="I57" s="5"/>
      <c r="J57" s="5"/>
      <c r="K57" s="5"/>
      <c r="L57" s="5"/>
      <c r="M57" s="5"/>
      <c r="N57" s="5"/>
      <c r="O57" s="5"/>
    </row>
    <row r="58" spans="1:15" ht="14.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14.5">
      <c r="A59" s="26" t="s">
        <v>32</v>
      </c>
      <c r="B59" s="26"/>
      <c r="C59" s="26"/>
      <c r="D59" s="26"/>
      <c r="E59" s="26"/>
      <c r="F59" s="26"/>
      <c r="G59" s="26"/>
      <c r="H59" s="26"/>
      <c r="I59" s="5"/>
      <c r="J59" s="5"/>
      <c r="K59" s="5"/>
      <c r="L59" s="5"/>
      <c r="M59" s="5"/>
      <c r="N59" s="5"/>
      <c r="O59" s="5"/>
    </row>
    <row r="60" spans="1:15" ht="29">
      <c r="A60" s="8" t="s">
        <v>33</v>
      </c>
      <c r="B60" s="8" t="s">
        <v>82</v>
      </c>
      <c r="C60" s="18">
        <f>O17</f>
        <v>0</v>
      </c>
      <c r="D60" s="9"/>
      <c r="E60" s="9"/>
      <c r="F60" s="9"/>
      <c r="G60" s="9"/>
      <c r="H60" s="10">
        <f t="shared" ref="H60:H65" si="8">SUM(C60:G60)</f>
        <v>0</v>
      </c>
      <c r="I60" s="5"/>
      <c r="J60" s="5"/>
      <c r="K60" s="5"/>
      <c r="L60" s="5"/>
      <c r="M60" s="5"/>
      <c r="N60" s="5"/>
      <c r="O60" s="5"/>
    </row>
    <row r="61" spans="1:15" ht="29">
      <c r="A61" s="8" t="s">
        <v>35</v>
      </c>
      <c r="B61" s="8" t="s">
        <v>82</v>
      </c>
      <c r="C61" s="18">
        <f>O18</f>
        <v>0</v>
      </c>
      <c r="D61" s="9"/>
      <c r="E61" s="9"/>
      <c r="F61" s="9"/>
      <c r="G61" s="9"/>
      <c r="H61" s="10">
        <f t="shared" si="8"/>
        <v>0</v>
      </c>
      <c r="I61" s="5"/>
      <c r="J61" s="5"/>
      <c r="K61" s="5"/>
      <c r="L61" s="5"/>
      <c r="M61" s="5"/>
      <c r="N61" s="5"/>
      <c r="O61" s="5"/>
    </row>
    <row r="62" spans="1:15" ht="29">
      <c r="A62" s="8" t="s">
        <v>37</v>
      </c>
      <c r="B62" s="8" t="s">
        <v>82</v>
      </c>
      <c r="C62" s="18">
        <f>O19</f>
        <v>0</v>
      </c>
      <c r="D62" s="9"/>
      <c r="E62" s="9"/>
      <c r="F62" s="9"/>
      <c r="G62" s="9"/>
      <c r="H62" s="10">
        <f t="shared" si="8"/>
        <v>0</v>
      </c>
      <c r="I62" s="5"/>
      <c r="J62" s="5"/>
      <c r="K62" s="5"/>
      <c r="L62" s="5"/>
      <c r="M62" s="5"/>
      <c r="N62" s="5"/>
      <c r="O62" s="5"/>
    </row>
    <row r="63" spans="1:15" ht="29">
      <c r="A63" s="8" t="s">
        <v>39</v>
      </c>
      <c r="B63" s="8" t="s">
        <v>82</v>
      </c>
      <c r="C63" s="18">
        <f>O20</f>
        <v>0</v>
      </c>
      <c r="D63" s="9"/>
      <c r="E63" s="9"/>
      <c r="F63" s="9"/>
      <c r="G63" s="9"/>
      <c r="H63" s="10">
        <f t="shared" si="8"/>
        <v>0</v>
      </c>
      <c r="I63" s="5"/>
      <c r="J63" s="5"/>
      <c r="K63" s="5"/>
      <c r="L63" s="5"/>
      <c r="M63" s="5"/>
      <c r="N63" s="5"/>
      <c r="O63" s="5"/>
    </row>
    <row r="64" spans="1:15" ht="29">
      <c r="A64" s="8" t="s">
        <v>41</v>
      </c>
      <c r="B64" s="8" t="s">
        <v>82</v>
      </c>
      <c r="C64" s="18">
        <f>O21</f>
        <v>0</v>
      </c>
      <c r="D64" s="9"/>
      <c r="E64" s="9"/>
      <c r="F64" s="9"/>
      <c r="G64" s="9"/>
      <c r="H64" s="10">
        <f t="shared" si="8"/>
        <v>0</v>
      </c>
      <c r="I64" s="5"/>
      <c r="J64" s="5"/>
      <c r="K64" s="5"/>
      <c r="L64" s="5"/>
      <c r="M64" s="5"/>
      <c r="N64" s="5"/>
      <c r="O64" s="5"/>
    </row>
    <row r="65" spans="1:15" ht="14.5">
      <c r="A65" s="27" t="s">
        <v>42</v>
      </c>
      <c r="B65" s="27"/>
      <c r="C65" s="12">
        <f>SUM(C60:C64)</f>
        <v>0</v>
      </c>
      <c r="D65" s="12">
        <f>SUM(D60:D64)</f>
        <v>0</v>
      </c>
      <c r="E65" s="12">
        <f>SUM(E60:E64)</f>
        <v>0</v>
      </c>
      <c r="F65" s="12">
        <f>SUM(F60:F64)</f>
        <v>0</v>
      </c>
      <c r="G65" s="12">
        <f>SUM(G60:G64)</f>
        <v>0</v>
      </c>
      <c r="H65" s="12">
        <f t="shared" si="8"/>
        <v>0</v>
      </c>
      <c r="I65" s="5"/>
      <c r="J65" s="5"/>
      <c r="K65" s="5"/>
      <c r="L65" s="5"/>
      <c r="M65" s="5"/>
      <c r="N65" s="5"/>
      <c r="O65" s="5"/>
    </row>
    <row r="66" spans="1:15" ht="14.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14.5">
      <c r="A67" s="28" t="s">
        <v>43</v>
      </c>
      <c r="B67" s="28"/>
      <c r="C67" s="28"/>
      <c r="D67" s="28"/>
      <c r="E67" s="28"/>
      <c r="F67" s="28"/>
      <c r="G67" s="28"/>
      <c r="H67" s="28"/>
      <c r="I67" s="5"/>
      <c r="J67" s="5"/>
      <c r="K67" s="5"/>
      <c r="L67" s="5"/>
      <c r="M67" s="5"/>
      <c r="N67" s="5"/>
      <c r="O67" s="5"/>
    </row>
    <row r="68" spans="1:15" ht="29">
      <c r="A68" s="8" t="s">
        <v>44</v>
      </c>
      <c r="B68" s="8" t="s">
        <v>82</v>
      </c>
      <c r="C68" s="18">
        <f t="shared" ref="C68:C74" si="9">O25</f>
        <v>0</v>
      </c>
      <c r="D68" s="9"/>
      <c r="E68" s="9"/>
      <c r="F68" s="9"/>
      <c r="G68" s="9"/>
      <c r="H68" s="10">
        <f t="shared" ref="H68:H75" si="10">SUM(C68:G68)</f>
        <v>0</v>
      </c>
      <c r="I68" s="5"/>
      <c r="J68" s="5"/>
      <c r="K68" s="5"/>
      <c r="L68" s="5"/>
      <c r="M68" s="5"/>
      <c r="N68" s="5"/>
      <c r="O68" s="5"/>
    </row>
    <row r="69" spans="1:15" ht="29">
      <c r="A69" s="8" t="s">
        <v>46</v>
      </c>
      <c r="B69" s="8" t="s">
        <v>82</v>
      </c>
      <c r="C69" s="18">
        <f t="shared" si="9"/>
        <v>0</v>
      </c>
      <c r="D69" s="9"/>
      <c r="E69" s="9"/>
      <c r="F69" s="9"/>
      <c r="G69" s="9"/>
      <c r="H69" s="10">
        <f t="shared" si="10"/>
        <v>0</v>
      </c>
      <c r="I69" s="5"/>
      <c r="J69" s="5"/>
      <c r="K69" s="5"/>
      <c r="L69" s="5"/>
      <c r="M69" s="5"/>
      <c r="N69" s="5"/>
      <c r="O69" s="5"/>
    </row>
    <row r="70" spans="1:15" ht="29">
      <c r="A70" s="8" t="s">
        <v>48</v>
      </c>
      <c r="B70" s="8" t="s">
        <v>82</v>
      </c>
      <c r="C70" s="18">
        <f t="shared" si="9"/>
        <v>0</v>
      </c>
      <c r="D70" s="9"/>
      <c r="E70" s="9"/>
      <c r="F70" s="9"/>
      <c r="G70" s="9"/>
      <c r="H70" s="10">
        <f t="shared" si="10"/>
        <v>0</v>
      </c>
      <c r="I70" s="5"/>
      <c r="J70" s="5"/>
      <c r="K70" s="5"/>
      <c r="L70" s="5"/>
      <c r="M70" s="5"/>
      <c r="N70" s="5"/>
      <c r="O70" s="5"/>
    </row>
    <row r="71" spans="1:15" ht="29">
      <c r="A71" s="8" t="s">
        <v>50</v>
      </c>
      <c r="B71" s="8" t="s">
        <v>82</v>
      </c>
      <c r="C71" s="18">
        <f t="shared" si="9"/>
        <v>0</v>
      </c>
      <c r="D71" s="9"/>
      <c r="E71" s="9"/>
      <c r="F71" s="9"/>
      <c r="G71" s="9"/>
      <c r="H71" s="10">
        <f t="shared" si="10"/>
        <v>0</v>
      </c>
      <c r="I71" s="5"/>
      <c r="J71" s="5"/>
      <c r="K71" s="5"/>
      <c r="L71" s="5"/>
      <c r="M71" s="5"/>
      <c r="N71" s="5"/>
      <c r="O71" s="5"/>
    </row>
    <row r="72" spans="1:15" ht="29">
      <c r="A72" s="8" t="s">
        <v>52</v>
      </c>
      <c r="B72" s="8" t="s">
        <v>82</v>
      </c>
      <c r="C72" s="18">
        <f t="shared" si="9"/>
        <v>0</v>
      </c>
      <c r="D72" s="9"/>
      <c r="E72" s="9"/>
      <c r="F72" s="9"/>
      <c r="G72" s="9"/>
      <c r="H72" s="10">
        <f t="shared" si="10"/>
        <v>0</v>
      </c>
      <c r="I72" s="5"/>
      <c r="J72" s="5"/>
      <c r="K72" s="5"/>
      <c r="L72" s="5"/>
      <c r="M72" s="5"/>
      <c r="N72" s="5"/>
      <c r="O72" s="5"/>
    </row>
    <row r="73" spans="1:15" ht="29">
      <c r="A73" s="8" t="s">
        <v>54</v>
      </c>
      <c r="B73" s="8" t="s">
        <v>82</v>
      </c>
      <c r="C73" s="18">
        <f t="shared" si="9"/>
        <v>0</v>
      </c>
      <c r="D73" s="9"/>
      <c r="E73" s="9"/>
      <c r="F73" s="9"/>
      <c r="G73" s="9"/>
      <c r="H73" s="10">
        <f t="shared" si="10"/>
        <v>0</v>
      </c>
      <c r="I73" s="5"/>
      <c r="J73" s="5"/>
      <c r="K73" s="5"/>
      <c r="L73" s="5"/>
      <c r="M73" s="5"/>
      <c r="N73" s="5"/>
      <c r="O73" s="5"/>
    </row>
    <row r="74" spans="1:15" ht="29">
      <c r="A74" s="8" t="s">
        <v>56</v>
      </c>
      <c r="B74" s="8" t="s">
        <v>82</v>
      </c>
      <c r="C74" s="18">
        <f t="shared" si="9"/>
        <v>0</v>
      </c>
      <c r="D74" s="9"/>
      <c r="E74" s="9"/>
      <c r="F74" s="9"/>
      <c r="G74" s="9"/>
      <c r="H74" s="10">
        <f t="shared" si="10"/>
        <v>0</v>
      </c>
      <c r="I74" s="5"/>
      <c r="J74" s="5"/>
      <c r="K74" s="5"/>
      <c r="L74" s="5"/>
      <c r="M74" s="5"/>
      <c r="N74" s="5"/>
      <c r="O74" s="5"/>
    </row>
    <row r="75" spans="1:15" ht="14.5">
      <c r="A75" s="29" t="s">
        <v>57</v>
      </c>
      <c r="B75" s="29"/>
      <c r="C75" s="13">
        <f>SUM(C68:C74)</f>
        <v>0</v>
      </c>
      <c r="D75" s="13">
        <f>SUM(D68:D74)</f>
        <v>0</v>
      </c>
      <c r="E75" s="13">
        <f>SUM(E68:E74)</f>
        <v>0</v>
      </c>
      <c r="F75" s="13">
        <f>SUM(F68:F74)</f>
        <v>0</v>
      </c>
      <c r="G75" s="13">
        <f>SUM(G68:G74)</f>
        <v>0</v>
      </c>
      <c r="H75" s="13">
        <f t="shared" si="10"/>
        <v>0</v>
      </c>
      <c r="I75" s="5"/>
      <c r="J75" s="5"/>
      <c r="K75" s="5"/>
      <c r="L75" s="5"/>
      <c r="M75" s="5"/>
      <c r="N75" s="5"/>
      <c r="O75" s="5"/>
    </row>
    <row r="76" spans="1:15" ht="14.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14.5">
      <c r="A77" s="30" t="s">
        <v>58</v>
      </c>
      <c r="B77" s="30"/>
      <c r="C77" s="30"/>
      <c r="D77" s="30"/>
      <c r="E77" s="30"/>
      <c r="F77" s="30"/>
      <c r="G77" s="30"/>
      <c r="H77" s="30"/>
      <c r="I77" s="5"/>
      <c r="J77" s="5"/>
      <c r="K77" s="5"/>
      <c r="L77" s="5"/>
      <c r="M77" s="5"/>
      <c r="N77" s="5"/>
      <c r="O77" s="5"/>
    </row>
    <row r="78" spans="1:15" ht="29">
      <c r="A78" s="8" t="s">
        <v>59</v>
      </c>
      <c r="B78" s="8" t="s">
        <v>82</v>
      </c>
      <c r="C78" s="18">
        <f>O35</f>
        <v>0</v>
      </c>
      <c r="D78" s="9"/>
      <c r="E78" s="9"/>
      <c r="F78" s="9"/>
      <c r="G78" s="9"/>
      <c r="H78" s="10">
        <f>SUM(C78:G78)</f>
        <v>0</v>
      </c>
      <c r="I78" s="5"/>
      <c r="J78" s="5"/>
      <c r="K78" s="5"/>
      <c r="L78" s="5"/>
      <c r="M78" s="5"/>
      <c r="N78" s="5"/>
      <c r="O78" s="5"/>
    </row>
    <row r="79" spans="1:15" ht="29">
      <c r="A79" s="8" t="s">
        <v>61</v>
      </c>
      <c r="B79" s="8" t="s">
        <v>82</v>
      </c>
      <c r="C79" s="18">
        <f>O36</f>
        <v>0</v>
      </c>
      <c r="D79" s="9"/>
      <c r="E79" s="9"/>
      <c r="F79" s="9"/>
      <c r="G79" s="9"/>
      <c r="H79" s="10">
        <f>SUM(C79:G79)</f>
        <v>0</v>
      </c>
      <c r="I79" s="5"/>
      <c r="J79" s="5"/>
      <c r="K79" s="5"/>
      <c r="L79" s="5"/>
      <c r="M79" s="5"/>
      <c r="N79" s="5"/>
      <c r="O79" s="5"/>
    </row>
    <row r="80" spans="1:15" ht="29">
      <c r="A80" s="8" t="s">
        <v>62</v>
      </c>
      <c r="B80" s="8" t="s">
        <v>82</v>
      </c>
      <c r="C80" s="18">
        <f>O37</f>
        <v>0</v>
      </c>
      <c r="D80" s="9"/>
      <c r="E80" s="9"/>
      <c r="F80" s="9"/>
      <c r="G80" s="9"/>
      <c r="H80" s="10">
        <f>SUM(C80:G80)</f>
        <v>0</v>
      </c>
      <c r="I80" s="5"/>
      <c r="J80" s="5"/>
      <c r="K80" s="5"/>
      <c r="L80" s="5"/>
      <c r="M80" s="5"/>
      <c r="N80" s="5"/>
      <c r="O80" s="5"/>
    </row>
    <row r="81" spans="1:15" ht="14.5">
      <c r="A81" s="31" t="s">
        <v>64</v>
      </c>
      <c r="B81" s="31"/>
      <c r="C81" s="14">
        <f>SUM(C78:C80)</f>
        <v>0</v>
      </c>
      <c r="D81" s="14">
        <f>SUM(D78:D80)</f>
        <v>0</v>
      </c>
      <c r="E81" s="14">
        <f>SUM(E78:E80)</f>
        <v>0</v>
      </c>
      <c r="F81" s="14">
        <f>SUM(F78:F80)</f>
        <v>0</v>
      </c>
      <c r="G81" s="14">
        <f>SUM(G78:G80)</f>
        <v>0</v>
      </c>
      <c r="H81" s="14">
        <f>SUM(C81:G81)</f>
        <v>0</v>
      </c>
      <c r="I81" s="5"/>
      <c r="J81" s="5"/>
      <c r="K81" s="5"/>
      <c r="L81" s="5"/>
      <c r="M81" s="5"/>
      <c r="N81" s="5"/>
      <c r="O81" s="5"/>
    </row>
    <row r="82" spans="1:15" ht="14.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14.5">
      <c r="A83" s="32" t="s">
        <v>83</v>
      </c>
      <c r="B83" s="32"/>
      <c r="C83" s="15">
        <f>C57-C65-C75</f>
        <v>0</v>
      </c>
      <c r="D83" s="15">
        <f>D57-D65-D75</f>
        <v>0</v>
      </c>
      <c r="E83" s="15">
        <f>E57-E65-E75</f>
        <v>0</v>
      </c>
      <c r="F83" s="15">
        <f>F57-F65-F75</f>
        <v>0</v>
      </c>
      <c r="G83" s="15">
        <f>G57-G65-G75</f>
        <v>0</v>
      </c>
      <c r="H83" s="15">
        <f>SUM(C83:G83)</f>
        <v>0</v>
      </c>
      <c r="I83" s="5"/>
      <c r="J83" s="5"/>
      <c r="K83" s="5"/>
      <c r="L83" s="5"/>
      <c r="M83" s="5"/>
      <c r="N83" s="5"/>
      <c r="O83" s="5"/>
    </row>
    <row r="84" spans="1:15" ht="14.5">
      <c r="A84" s="33" t="s">
        <v>66</v>
      </c>
      <c r="B84" s="33"/>
      <c r="C84" s="19">
        <f>C83</f>
        <v>0</v>
      </c>
      <c r="D84" s="19">
        <f>C84+D83</f>
        <v>0</v>
      </c>
      <c r="E84" s="19">
        <f>D84+E83</f>
        <v>0</v>
      </c>
      <c r="F84" s="19">
        <f>E84+F83</f>
        <v>0</v>
      </c>
      <c r="G84" s="19">
        <f>F84+G83</f>
        <v>0</v>
      </c>
      <c r="H84" s="19">
        <f>G84</f>
        <v>0</v>
      </c>
      <c r="I84" s="5"/>
      <c r="J84" s="5"/>
      <c r="K84" s="5"/>
      <c r="L84" s="5"/>
      <c r="M84" s="5"/>
      <c r="N84" s="5"/>
      <c r="O84" s="5"/>
    </row>
    <row r="85" spans="1:15" ht="14.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14.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14.5">
      <c r="A87" s="35" t="s">
        <v>84</v>
      </c>
      <c r="B87" s="35"/>
      <c r="C87" s="35"/>
      <c r="D87" s="35"/>
      <c r="E87" s="35"/>
      <c r="F87" s="35"/>
      <c r="G87" s="35"/>
      <c r="H87" s="35"/>
      <c r="I87" s="5"/>
      <c r="J87" s="5"/>
      <c r="K87" s="5"/>
      <c r="L87" s="5"/>
      <c r="M87" s="5"/>
      <c r="N87" s="5"/>
      <c r="O87" s="5"/>
    </row>
    <row r="88" spans="1:15" ht="14.5">
      <c r="A88" s="35"/>
      <c r="B88" s="35"/>
      <c r="C88" s="35"/>
      <c r="D88" s="35"/>
      <c r="E88" s="35"/>
      <c r="F88" s="35"/>
      <c r="G88" s="35"/>
      <c r="H88" s="35"/>
      <c r="I88" s="5"/>
      <c r="J88" s="5"/>
      <c r="K88" s="5"/>
      <c r="L88" s="5"/>
      <c r="M88" s="5"/>
      <c r="N88" s="5"/>
      <c r="O88" s="5"/>
    </row>
    <row r="89" spans="1:15" ht="14.5">
      <c r="A89" s="35"/>
      <c r="B89" s="35"/>
      <c r="C89" s="35"/>
      <c r="D89" s="35"/>
      <c r="E89" s="35"/>
      <c r="F89" s="35"/>
      <c r="G89" s="35"/>
      <c r="H89" s="35"/>
      <c r="I89" s="5"/>
      <c r="J89" s="5"/>
      <c r="K89" s="5"/>
      <c r="L89" s="5"/>
      <c r="M89" s="5"/>
      <c r="N89" s="5"/>
      <c r="O89" s="5"/>
    </row>
  </sheetData>
  <mergeCells count="27">
    <mergeCell ref="A84:B84"/>
    <mergeCell ref="A87:H89"/>
    <mergeCell ref="A67:H67"/>
    <mergeCell ref="A75:B75"/>
    <mergeCell ref="A77:H77"/>
    <mergeCell ref="A81:B81"/>
    <mergeCell ref="A83:B83"/>
    <mergeCell ref="A50:H50"/>
    <mergeCell ref="A52:H52"/>
    <mergeCell ref="A57:B57"/>
    <mergeCell ref="A59:H59"/>
    <mergeCell ref="A65:B65"/>
    <mergeCell ref="A34:O34"/>
    <mergeCell ref="A38:B38"/>
    <mergeCell ref="A40:B40"/>
    <mergeCell ref="A41:B41"/>
    <mergeCell ref="A43:F43"/>
    <mergeCell ref="A14:B14"/>
    <mergeCell ref="A16:O16"/>
    <mergeCell ref="A22:B22"/>
    <mergeCell ref="A24:O24"/>
    <mergeCell ref="A32:B32"/>
    <mergeCell ref="A1:O1"/>
    <mergeCell ref="A2:O2"/>
    <mergeCell ref="D4:O5"/>
    <mergeCell ref="A7:O7"/>
    <mergeCell ref="A9:O9"/>
  </mergeCells>
  <conditionalFormatting sqref="C84:G84">
    <cfRule type="cellIs" dxfId="3" priority="3" operator="lessThan">
      <formula>0</formula>
    </cfRule>
    <cfRule type="cellIs" dxfId="2" priority="4" operator="greaterThanOrEqual">
      <formula>0</formula>
    </cfRule>
  </conditionalFormatting>
  <conditionalFormatting sqref="C41:N41">
    <cfRule type="cellIs" dxfId="1" priority="1" operator="lessThan">
      <formula>0</formula>
    </cfRule>
    <cfRule type="cellIs" dxfId="0" priority="2" operator="greaterThanOrEqual">
      <formula>0</formula>
    </cfRule>
  </conditionalFormatting>
  <dataValidations count="1">
    <dataValidation type="list" sqref="B5" xr:uid="{00000000-0002-0000-0000-000000000000}">
      <formula1>"1,2,3,4,5,6,7,8,9,10,11,12"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de Caixa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 Gonçalves Silva Santos</cp:lastModifiedBy>
  <dcterms:modified xsi:type="dcterms:W3CDTF">2026-09-15T22:32:53Z</dcterms:modified>
</cp:coreProperties>
</file>